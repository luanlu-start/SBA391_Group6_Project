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_Bìa" sheetId="1" r:id="rId5"/>
    <sheet state="visible" name="01_Tổng_quan" sheetId="2" r:id="rId6"/>
    <sheet state="visible" name="02_Tác_nhân_Phân_quyền" sheetId="3" r:id="rId7"/>
    <sheet state="visible" name="03_BR" sheetId="4" r:id="rId8"/>
    <sheet state="visible" name="04_UC" sheetId="5" r:id="rId9"/>
    <sheet state="visible" name="05_Truy_vết" sheetId="6" r:id="rId10"/>
    <sheet state="visible" name="06_Tham_số" sheetId="7" r:id="rId11"/>
    <sheet state="visible" name="07_Biểu_phí_Mô_phỏng" sheetId="8" r:id="rId12"/>
    <sheet state="visible" name="08_Trạng_thái" sheetId="9" r:id="rId13"/>
    <sheet state="visible" name="09_Dữ_liệu" sheetId="10" r:id="rId14"/>
    <sheet state="visible" name="10_API" sheetId="11" r:id="rId15"/>
    <sheet state="visible" name="11_Màn_hình" sheetId="12" r:id="rId16"/>
    <sheet state="visible" name="12_VNPay" sheetId="13" r:id="rId17"/>
    <sheet state="visible" name="13_Kế_hoạch_Nhân_sự" sheetId="14" r:id="rId18"/>
    <sheet state="visible" name="14_Chia task(Chức năng)" sheetId="15" r:id="rId19"/>
    <sheet state="visible" name="15_Chia task(UC)" sheetId="16" r:id="rId20"/>
    <sheet state="visible" name="16_Rủi_ro" sheetId="17" r:id="rId21"/>
    <sheet state="visible" name="17_Thuật_ngữ" sheetId="18" r:id="rId22"/>
  </sheets>
  <definedNames>
    <definedName hidden="1" localSheetId="3" name="_xlnm._FilterDatabase">'03_BR'!$A$4:$M$290</definedName>
    <definedName hidden="1" localSheetId="4" name="_xlnm._FilterDatabase">'04_UC'!$A$4:$R$67</definedName>
    <definedName hidden="1" localSheetId="5" name="_xlnm._FilterDatabase">'05_Truy_vết'!$A$4:$M$67</definedName>
    <definedName hidden="1" localSheetId="6" name="_xlnm._FilterDatabase">'06_Tham_số'!$A$4:$J$113</definedName>
    <definedName hidden="1" localSheetId="8" name="_xlnm._FilterDatabase">'08_Trạng_thái'!$A$74:$H$128</definedName>
    <definedName hidden="1" localSheetId="9" name="_xlnm._FilterDatabase">'09_Dữ_liệu'!$A$4:$I$59</definedName>
    <definedName hidden="1" localSheetId="10" name="_xlnm._FilterDatabase">'10_API'!$A$4:$H$171</definedName>
    <definedName hidden="1" localSheetId="11" name="_xlnm._FilterDatabase">'11_Màn_hình'!$A$4:$G$68</definedName>
    <definedName hidden="1" localSheetId="16" name="_xlnm._FilterDatabase">'16_Rủi_ro'!$A$4:$L$28</definedName>
    <definedName hidden="1" localSheetId="17" name="_xlnm._FilterDatabase">'17_Thuật_ngữ'!$A$4:$B$49</definedName>
  </definedNames>
  <calcPr/>
</workbook>
</file>

<file path=xl/sharedStrings.xml><?xml version="1.0" encoding="utf-8"?>
<sst xmlns="http://schemas.openxmlformats.org/spreadsheetml/2006/main" count="10372" uniqueCount="4596">
  <si>
    <t>FPTPost – Bộ đặc tả yêu cầu và thiết kế hệ thống</t>
  </si>
  <si>
    <t>Nền tảng giao hàng cowork ngang hàng (P2P) • Tài liệu đặc tả nghiệp vụ • Ngôn ngữ: tiếng Việt • Phiên bản 1.0</t>
  </si>
  <si>
    <t>1. Thông tin tài liệu</t>
  </si>
  <si>
    <t>Dự án</t>
  </si>
  <si>
    <t>FPTPost</t>
  </si>
  <si>
    <t>Môn học</t>
  </si>
  <si>
    <t>SBA301 – Tích hợp ứng dụng trang đơn với Spring Boot</t>
  </si>
  <si>
    <t>Nhóm</t>
  </si>
  <si>
    <t>6 thành viên (Lead: Lư Hữu Luân), 5 tuần, 5 sprint (10/10/2026 – 14/11/2026)</t>
  </si>
  <si>
    <t>Ngày lập</t>
  </si>
  <si>
    <t>08/10/2026</t>
  </si>
  <si>
    <t>Trạng thái</t>
  </si>
  <si>
    <t>Dự thảo v1.0 – chờ nhóm rà soát</t>
  </si>
  <si>
    <t>Tài liệu đi kèm</t>
  </si>
  <si>
    <t>FPTPost – Tài liệu thiết kế hệ thống (SPEC): tài liệu Claude Docs, xuất được sang Word/PDF; thiết kế kỹ thuật cho nhóm phát triển, không lặp lại nội dung của bảng tính này</t>
  </si>
  <si>
    <t>2. Lịch sử phiên bản</t>
  </si>
  <si>
    <t>Phiên bản</t>
  </si>
  <si>
    <t>Nội dung thay đổi</t>
  </si>
  <si>
    <t>Ngày</t>
  </si>
  <si>
    <t>Người lập</t>
  </si>
  <si>
    <t>1.0</t>
  </si>
  <si>
    <t>Khởi tạo bộ đặc tả: BR, UC, tham số, dữ liệu, API, màn hình, đánh giá VNPay, kế hoạch</t>
  </si>
  <si>
    <t>Nhóm FPTPost</t>
  </si>
  <si>
    <t>3. Số liệu tổng hợp (tính tự động từ các sheet)</t>
  </si>
  <si>
    <t>Chỉ tiêu</t>
  </si>
  <si>
    <t>Diễn giải</t>
  </si>
  <si>
    <t>Giá trị</t>
  </si>
  <si>
    <t>Tổng số BR</t>
  </si>
  <si>
    <t>Mọi loại yêu cầu nghiệp vụ</t>
  </si>
  <si>
    <t xml:space="preserve">  Functional BR</t>
  </si>
  <si>
    <t>Yêu cầu chức năng</t>
  </si>
  <si>
    <t xml:space="preserve">  Non-functional BR</t>
  </si>
  <si>
    <t>Yêu cầu phi chức năng</t>
  </si>
  <si>
    <t xml:space="preserve">  Business Rule</t>
  </si>
  <si>
    <t>Quy tắc nghiệp vụ</t>
  </si>
  <si>
    <t xml:space="preserve">  Business Constraint</t>
  </si>
  <si>
    <t>Ràng buộc</t>
  </si>
  <si>
    <t xml:space="preserve">  Business Goal</t>
  </si>
  <si>
    <t>Mục tiêu kinh doanh</t>
  </si>
  <si>
    <t>BR mức Must / Should / Could</t>
  </si>
  <si>
    <t>Theo MoSCoW</t>
  </si>
  <si>
    <t>Tổng số Use Case</t>
  </si>
  <si>
    <t>UC mô tả ở sheet 04</t>
  </si>
  <si>
    <t>UC mức Must / Should / Could</t>
  </si>
  <si>
    <t>Tổng giờ ước lượng UC (BE+FE)</t>
  </si>
  <si>
    <t>Gồm cả Could</t>
  </si>
  <si>
    <t>Giờ ước lượng UC Must + Should</t>
  </si>
  <si>
    <t>Không gồm Could</t>
  </si>
  <si>
    <t>Tham số nghiệp vụ</t>
  </si>
  <si>
    <t>Sheet 06</t>
  </si>
  <si>
    <t>Thực thể dữ liệu</t>
  </si>
  <si>
    <t>Sheet 09</t>
  </si>
  <si>
    <t>Endpoint API</t>
  </si>
  <si>
    <t>Sheet 10</t>
  </si>
  <si>
    <t>Màn hình</t>
  </si>
  <si>
    <t>Sheet 11</t>
  </si>
  <si>
    <t>Rủi ro đã nhận diện</t>
  </si>
  <si>
    <t>Sheet 16</t>
  </si>
  <si>
    <t>UC chưa có BR chức năng/quy tắc</t>
  </si>
  <si>
    <t>Kiểm tra độ phủ, mong đợi = 0</t>
  </si>
  <si>
    <t>Mức sử dụng công suất toàn đội</t>
  </si>
  <si>
    <t>Từ sheet 13 (UC + việc chung + họp)</t>
  </si>
  <si>
    <t>4. Danh mục sheet</t>
  </si>
  <si>
    <t>Sheet</t>
  </si>
  <si>
    <t>Nội dung</t>
  </si>
  <si>
    <t>01_Tổng_quan</t>
  </si>
  <si>
    <t>Tầm nhìn, phạm vi, giá trị khác biệt, bên liên quan, giả định</t>
  </si>
  <si>
    <t>02_Tác_nhân_Phân_quyền</t>
  </si>
  <si>
    <t>Tác nhân và ma trận phân quyền theo vai trò</t>
  </si>
  <si>
    <t>03_BR</t>
  </si>
  <si>
    <t>Toàn bộ BR (Functional, Non-functional, Business Rule, Constraint, Goal) kèm tiêu chí nghiệm thu</t>
  </si>
  <si>
    <t>04_UC</t>
  </si>
  <si>
    <t>63 Use Case: luồng chính, ngoại lệ, người phụ trách, ước lượng giờ, sprint</t>
  </si>
  <si>
    <t>05_Truy_vết</t>
  </si>
  <si>
    <t>Ma trận truy vết UC ↔ BR ↔ màn hình ↔ API và số liệu độ phủ</t>
  </si>
  <si>
    <t>06_Tham_số</t>
  </si>
  <si>
    <t>Tham số nghiệp vụ có thể cấu hình (mọi con số trong BR lấy từ đây)</t>
  </si>
  <si>
    <t>07_Biểu_phí_Mô_phỏng</t>
  </si>
  <si>
    <t>Công cụ mô phỏng giá, hoa hồng và 20 ca kiểm thử công thức</t>
  </si>
  <si>
    <t>08_Trạng_thái</t>
  </si>
  <si>
    <t>Danh mục trạng thái và bảng chuyển trạng thái</t>
  </si>
  <si>
    <t>09_Dữ_liệu</t>
  </si>
  <si>
    <t>Từ điển dữ liệu mức thực thể (SQL Server và MongoDB)</t>
  </si>
  <si>
    <t>10_API</t>
  </si>
  <si>
    <t>Danh mục endpoint REST và kênh WebSocket</t>
  </si>
  <si>
    <t>11_Màn_hình</t>
  </si>
  <si>
    <t>Danh mục màn hình frontend</t>
  </si>
  <si>
    <t>12_VNPay</t>
  </si>
  <si>
    <t>Đánh giá mức phù hợp của VNPay, phương án rút tiền, điều kiện go-live</t>
  </si>
  <si>
    <t>13_Kế_hoạch_Nhân_sự</t>
  </si>
  <si>
    <t>Nhân sự, công suất, kế hoạch 5 sprint, biểu đồ Gantt</t>
  </si>
  <si>
    <t>14_Chia task(Chức năng)</t>
  </si>
  <si>
    <t>Phân chia phân hệ, bounded context, định hướng kỹ thuật và phân công người phụ trách</t>
  </si>
  <si>
    <t>15_Chia task(UC)</t>
  </si>
  <si>
    <t>Phân chia chi tiết 63 Use Case theo Dev và tiến độ sprint hoàn thành</t>
  </si>
  <si>
    <t>16_Rủi_ro</t>
  </si>
  <si>
    <t>Sổ đăng ký rủi ro và biện pháp giảm thiểu</t>
  </si>
  <si>
    <t>17_Thuật_ngữ</t>
  </si>
  <si>
    <t>Thuật ngữ và viết tắt kỹ thuật/nghiệp vụ</t>
  </si>
  <si>
    <t>5. Quy ước</t>
  </si>
  <si>
    <t>Mã BR</t>
  </si>
  <si>
    <t>BR-F-xxx (Functional), BR-N-xxx (Non-functional), BR-R-xxx (Business Rule), BR-C-xxx (Constraint), BR-G-xxx (Goal)</t>
  </si>
  <si>
    <t>Mã UC / SCR / API / DB / PRM</t>
  </si>
  <si>
    <t>UC-xx, SCR-xx, API-xxx, DB-xxx, PRM-xxx; mã tham số được trích dẫn trong ngoặc vuông [PRM-xxx] ở phần mô tả BR</t>
  </si>
  <si>
    <t>MoSCoW và Pha</t>
  </si>
  <si>
    <t>Must = Pha 1 (MVP); Should = Pha 2; Could = Pha 3 (làm khi còn công suất)</t>
  </si>
  <si>
    <t>Ô nhập liệu</t>
  </si>
  <si>
    <t>Chữ xanh dương trên nền vàng nhạt là ô nhập; công thức màu đen tính tự động</t>
  </si>
  <si>
    <t>Tiền tệ</t>
  </si>
  <si>
    <t>VND, số nguyên; ký hiệu đ</t>
  </si>
  <si>
    <t>6. Mã phân hệ</t>
  </si>
  <si>
    <t>Mã</t>
  </si>
  <si>
    <t>Tên phân hệ</t>
  </si>
  <si>
    <t>Số BR</t>
  </si>
  <si>
    <t>Số UC</t>
  </si>
  <si>
    <t>AUTH</t>
  </si>
  <si>
    <t>Tài khoản &amp; Xác thực</t>
  </si>
  <si>
    <t>KYC</t>
  </si>
  <si>
    <t>Xác minh &amp; Hồ sơ</t>
  </si>
  <si>
    <t>ORD</t>
  </si>
  <si>
    <t>Đơn hàng</t>
  </si>
  <si>
    <t>MKT</t>
  </si>
  <si>
    <t>Sàn đơn &amp; Ghép đơn</t>
  </si>
  <si>
    <t>TRP</t>
  </si>
  <si>
    <t>Chuyến đi</t>
  </si>
  <si>
    <t>NEG</t>
  </si>
  <si>
    <t>Thương lượng &amp; Chat</t>
  </si>
  <si>
    <t>TRK</t>
  </si>
  <si>
    <t>Theo dõi &amp; Giao nhận</t>
  </si>
  <si>
    <t>REL</t>
  </si>
  <si>
    <t>Giao tiếp sức &amp; Gộp đơn</t>
  </si>
  <si>
    <t>PAY</t>
  </si>
  <si>
    <t>Ví &amp; Thanh toán</t>
  </si>
  <si>
    <t>FEE</t>
  </si>
  <si>
    <t>Giá, Phí &amp; Khuyến mãi</t>
  </si>
  <si>
    <t>REP</t>
  </si>
  <si>
    <t>Uy tín &amp; Đánh giá</t>
  </si>
  <si>
    <t>DSP</t>
  </si>
  <si>
    <t>Khiếu nại &amp; Bảo đảm</t>
  </si>
  <si>
    <t>NTF</t>
  </si>
  <si>
    <t>Thông báo</t>
  </si>
  <si>
    <t>SAF</t>
  </si>
  <si>
    <t>An toàn &amp; Kiểm duyệt</t>
  </si>
  <si>
    <t>ADM</t>
  </si>
  <si>
    <t>Quản trị &amp; Báo cáo</t>
  </si>
  <si>
    <t>GAM</t>
  </si>
  <si>
    <t>Thu nhập &amp; Gamification</t>
  </si>
  <si>
    <t>SYS</t>
  </si>
  <si>
    <t>Hệ thống chung</t>
  </si>
  <si>
    <t>Tổng quan dự án</t>
  </si>
  <si>
    <t>1. Thông tin dự án</t>
  </si>
  <si>
    <t>Tên dự án</t>
  </si>
  <si>
    <t>FPTPost – nền tảng giao hàng cowork ngang hàng (P2P)</t>
  </si>
  <si>
    <t>Mã dự án</t>
  </si>
  <si>
    <t>FPTPOST</t>
  </si>
  <si>
    <t>Mô tả ngắn</t>
  </si>
  <si>
    <t>Nền tảng kết nối người có hàng cần gửi với người sẵn sàng giao hàng tiện đường, không qua nhà phân phối; nền tảng chịu trách nhiệm xác minh, ký quỹ, theo dõi và thanh toán với phí hoa hồng thấp.</t>
  </si>
  <si>
    <t>SBA301 – Tích hợp ứng dụng trang đơn với Spring Boot (đồ án nhóm chiếm 25% điểm; phải bao phủ toàn bộ CLO)</t>
  </si>
  <si>
    <t>Thời gian</t>
  </si>
  <si>
    <t>5 tuần (10/10/2026 – 14/11/2026), chia 5 sprint, mỗi sprint 1 tuần</t>
  </si>
  <si>
    <t>Quy mô nhóm</t>
  </si>
  <si>
    <t>6 thành viên (Lead: Lư Hữu Luân), phụ trách theo lát cắt dọc (backend + frontend)</t>
  </si>
  <si>
    <t>Công nghệ chính</t>
  </si>
  <si>
    <t>Java 21, Spring Boot 3, Spring Security (JWT), Spring Data JPA/Hibernate với SQL Server, Spring Data MongoDB, ReactJS (Node 21) + React-Bootstrap, WebSocket, Docker</t>
  </si>
  <si>
    <t>Thanh toán</t>
  </si>
  <si>
    <t>VNPay (sandbox) cho thu tiền và hoàn tiền; rút tiền qua PayoutProvider (xem sheet 12_VNPay)</t>
  </si>
  <si>
    <t>Phiên bản tài liệu</t>
  </si>
  <si>
    <t>1.0 – khởi tạo (08/10/2026)</t>
  </si>
  <si>
    <t>Phạm vi địa lý khởi điểm (giả định)</t>
  </si>
  <si>
    <t>Cộng đồng FPT (sinh viên, giảng viên, nhân viên) và khu vực lân cận campus; kiến trúc cho phép mở rộng toàn thành phố</t>
  </si>
  <si>
    <t>2. Tầm nhìn và vấn đề</t>
  </si>
  <si>
    <t>Tầm nhìn</t>
  </si>
  <si>
    <t>Biến mỗi chuyến đi hằng ngày thành một cơ hội giao hàng: người có hàng gửi nhanh và rẻ hơn, người đi đường có thêm thu nhập, và mọi giao dịch đều minh bạch, được bảo chứng bởi nền tảng.</t>
  </si>
  <si>
    <t>Vấn đề cần giải quyết</t>
  </si>
  <si>
    <t>Chi phí và thời gian giao hàng qua đơn vị vận chuyển truyền thống cao; nhiều người có sẵn chuyến đi nhưng thiếu kênh an toàn để nhận giao hàng; giao dịch tự phát trên mạng xã hội thiếu niềm tin, không theo dõi được và dễ lừa đảo.</t>
  </si>
  <si>
    <t>3. Giá trị khác biệt của FPTPost</t>
  </si>
  <si>
    <t>Điểm khác biệt</t>
  </si>
  <si>
    <t>Mô tả</t>
  </si>
  <si>
    <t>UC chính</t>
  </si>
  <si>
    <t>BR tham chiếu</t>
  </si>
  <si>
    <t>Giao tiện đường (trip-based matching)</t>
  </si>
  <si>
    <t>Người giao đăng chuyến đi; hệ thống gợi ý đơn nằm dọc tuyến, giảm chi phí cho cả hai bên.</t>
  </si>
  <si>
    <t>UC-21, UC-22, UC-23</t>
  </si>
  <si>
    <t>BR-F ghép đơn; BR-R điều kiện ghép đơn–chuyến</t>
  </si>
  <si>
    <t>Ký quỹ và xác nhận bằng OTP/QR</t>
  </si>
  <si>
    <t>Tiền được giữ cho đến khi người nhận xác nhận, giải quyết bài toán niềm tin giữa người lạ.</t>
  </si>
  <si>
    <t>UC-35, UC-36, UC-25, UC-28</t>
  </si>
  <si>
    <t>BR-R điều kiện ký quỹ và giải ngân</t>
  </si>
  <si>
    <t>Điểm uy tín và hạng thành viên</t>
  </si>
  <si>
    <t>Hạng quyết định hoa hồng, hạn mức đơn và quyền nhận hàng giá trị cao.</t>
  </si>
  <si>
    <t>UC-49, UC-48</t>
  </si>
  <si>
    <t>BR-R công thức điểm uy tín, hạng</t>
  </si>
  <si>
    <t>Hoa hồng thấp, minh bạch</t>
  </si>
  <si>
    <t>Hoa hồng 4–8% phí giao, chỉ thu từ người giao; người gửi không trả phí nền tảng.</t>
  </si>
  <si>
    <t>UC-36, UC-46</t>
  </si>
  <si>
    <t>BR-R hoa hồng theo hạng</t>
  </si>
  <si>
    <t>Thương lượng giá có biên</t>
  </si>
  <si>
    <t>Người giao chào giá trong biên quanh giá gợi ý, tránh chặt chém và tránh giá phi thực tế.</t>
  </si>
  <si>
    <t>UC-18, UC-19</t>
  </si>
  <si>
    <t>BR-R biên giá chào</t>
  </si>
  <si>
    <t>Giao tiếp sức (relay)</t>
  </si>
  <si>
    <t>Chia đơn đường dài thành nhiều chặng, mỗi người giao một đoạn tiện đường (giai đoạn mở rộng).</t>
  </si>
  <si>
    <t>UC-32, UC-33</t>
  </si>
  <si>
    <t>BR-R quy tắc đơn tiếp sức</t>
  </si>
  <si>
    <t>Bằng chứng giao nhận và Quỹ bảo đảm</t>
  </si>
  <si>
    <t>Ảnh, mã xác nhận, vị trí làm chứng cứ; quỹ bảo đảm bồi thường cho đơn có bảo hiểm.</t>
  </si>
  <si>
    <t>UC-25, UC-28, UC-52</t>
  </si>
  <si>
    <t>BR-R điều kiện bồi thường</t>
  </si>
  <si>
    <t>Cộng đồng tin cậy FPT</t>
  </si>
  <si>
    <t>Huy hiệu Cộng đồng FPT, điểm hẹn bàn giao an toàn quanh campus.</t>
  </si>
  <si>
    <t>UC-07, UC-33</t>
  </si>
  <si>
    <t>BR-R huy hiệu cộng đồng FPT</t>
  </si>
  <si>
    <t>4. Mô hình doanh thu và chi phí (trích từ tham số)</t>
  </si>
  <si>
    <t>Nguồn thu chính</t>
  </si>
  <si>
    <t>Hoa hồng thu từ người giao, tính trên phí giao: Tân binh 8% [PRM-042], Đồng 7% [PRM-043], Bạc 6% [PRM-044], Vàng 5% [PRM-045], Kim cương 4% [PRM-046].</t>
  </si>
  <si>
    <t>Người gửi</t>
  </si>
  <si>
    <t>Không trả phí nền tảng; chỉ trả phí giao và bảo hiểm tùy chọn (1% [PRM-047] giá trị khai báo).</t>
  </si>
  <si>
    <t>Phí rút tiền</t>
  </si>
  <si>
    <t>Miễn phí 4 lần [PRM-062]; từ lần kế tiếp 5.000đ [PRM-063]/lần.</t>
  </si>
  <si>
    <t>Quỹ bảo đảm</t>
  </si>
  <si>
    <t>Trích 10% [PRM-049] hoa hồng và toàn bộ phí bảo hiểm để bồi thường đơn có bảo hiểm.</t>
  </si>
  <si>
    <t>Khuyến mãi</t>
  </si>
  <si>
    <t>Chi phí do nền tảng chịu, không làm giảm thu nhập người giao.</t>
  </si>
  <si>
    <t>Mô phỏng</t>
  </si>
  <si>
    <t>Xem sheet 07 để thử các kịch bản giá, hoa hồng và dòng tiền.</t>
  </si>
  <si>
    <t>5. Phạm vi</t>
  </si>
  <si>
    <t>Giai đoạn / loại</t>
  </si>
  <si>
    <t>Giai đoạn 1 (MVP – Must)</t>
  </si>
  <si>
    <t>Tài khoản, KYC, tạo đơn, sàn đơn, nhận đơn/chào giá, chat, ký quỹ qua ví và VNPay, lấy/giao bằng QR/OTP, theo dõi, giải ngân, hoàn tiền, rút tiền, khiếu nại, kiểm duyệt, quản trị cơ bản.</t>
  </si>
  <si>
    <t>Giai đoạn 2 (Should)</t>
  </si>
  <si>
    <t>Chuyến đi và gợi ý ghép đơn–chuyến, hoàn tiền về nguồn VNPay, đối soát, thu nhập và thống kê, nhật ký kiểm toán, SOS.</t>
  </si>
  <si>
    <t>Giai đoạn 3 (Could – làm khi còn công suất)</t>
  </si>
  <si>
    <t>Mời trực tiếp, khuyến mãi, huy hiệu/giới thiệu bạn bè, gộp đơn, giao tiếp sức, Web Push.</t>
  </si>
  <si>
    <t>Ngoài phạm vi</t>
  </si>
  <si>
    <t>Ứng dụng di động native (chỉ web responsive/PWA nếu còn thời gian).</t>
  </si>
  <si>
    <t>Thu hộ tiền hàng (COD) và thanh toán tiền mặt cho phí giao.</t>
  </si>
  <si>
    <t>Vận chuyển quốc tế, hàng quá khổ/quá tải, hàng cần bảo quản lạnh hoặc hàng nguy hiểm.</t>
  </si>
  <si>
    <t>Tích hợp với hãng vận chuyển thương mại hoặc kho bãi.</t>
  </si>
  <si>
    <t>Xác minh danh tính tự động bằng AI (eKYC máy); giai đoạn này duyệt thủ công.</t>
  </si>
  <si>
    <t>Chi trả tiền thật qua nhà cung cấp chi hộ (bản đồ án dùng Mock/thủ công).</t>
  </si>
  <si>
    <t>Hóa đơn điện tử và kê khai thuế tự động (chỉ hỗ trợ dữ liệu doanh thu theo người giao).</t>
  </si>
  <si>
    <t>6. Các bên liên quan</t>
  </si>
  <si>
    <t>Bên liên quan</t>
  </si>
  <si>
    <t>Vai trò và kỳ vọng</t>
  </si>
  <si>
    <t>Mức ảnh hưởng</t>
  </si>
  <si>
    <t>Nhóm phát triển (Product Owner &amp; Team)</t>
  </si>
  <si>
    <t>Quyết định phạm vi, thiết kế và phát triển; chịu trách nhiệm chất lượng.</t>
  </si>
  <si>
    <t>Cao</t>
  </si>
  <si>
    <t>Giảng viên / hội đồng đánh giá</t>
  </si>
  <si>
    <t>Đánh giá mức độ đạt CLO, chất lượng sản phẩm và tài liệu.</t>
  </si>
  <si>
    <t>Người dùng trả phí giao; yêu cầu an toàn, rẻ, dễ dùng.</t>
  </si>
  <si>
    <t>Người giao</t>
  </si>
  <si>
    <t>Người dùng tạo giá trị cung ứng; yêu cầu thu nhập rõ ràng, rút tiền nhanh.</t>
  </si>
  <si>
    <t>Người nhận</t>
  </si>
  <si>
    <t>Nhận hàng; yêu cầu thông tin theo dõi chính xác, không phải đăng ký.</t>
  </si>
  <si>
    <t>Trung bình</t>
  </si>
  <si>
    <t>Vận hành (Admin, Kiểm duyệt)</t>
  </si>
  <si>
    <t>Giữ nền tảng an toàn, xử lý tranh chấp và rút tiền.</t>
  </si>
  <si>
    <t>VNPay</t>
  </si>
  <si>
    <t>Đối tác thanh toán; ràng buộc quy trình tích hợp và kiểm thử.</t>
  </si>
  <si>
    <t>Cơ quan quản lý (Ngân hàng Nhà nước, cơ quan thuế, cơ quan bảo vệ dữ liệu)</t>
  </si>
  <si>
    <t>Quy định ví/trung gian thanh toán, thuế, dữ liệu cá nhân; ảnh hưởng điều kiện thương mại hóa.</t>
  </si>
  <si>
    <t>Cao (khi thương mại hóa)</t>
  </si>
  <si>
    <t>7. Giả định và phụ thuộc</t>
  </si>
  <si>
    <t>Loại</t>
  </si>
  <si>
    <t>Giả định</t>
  </si>
  <si>
    <t>Mỗi thành viên dành khoảng 24 giờ/tuần cho dự án trong lộ trình 5 tuần (tổng công suất 120 giờ/người, 720 giờ toàn đội); ước lượng giờ ở sheet 04_UC dựa trên giả định này và được điều chỉnh cân bằng ở sheet 13.</t>
  </si>
  <si>
    <t>Người dùng pilot chủ yếu là sinh viên/nhân viên cộng đồng FPT, quen dùng ứng dụng web trên điện thoại.</t>
  </si>
  <si>
    <t>VNPay sandbox khả dụng suốt thời gian phát triển; IPN nhận được thông qua tunnel công khai khi phát triển.</t>
  </si>
  <si>
    <t>Dịch vụ OpenStreetMap/định tuyến miễn phí đủ cho lưu lượng pilot; có phương án dự phòng.</t>
  </si>
  <si>
    <t>Trong bản đồ án, tiền là tiền thử nghiệm (sandbox); không có giao dịch tiền thật.</t>
  </si>
  <si>
    <t>Phụ thuộc</t>
  </si>
  <si>
    <t>Hoàn thành đăng ký tài khoản sandbox VNPay trong sprint 1.</t>
  </si>
  <si>
    <t>Quy trình duyệt KYC thủ công cần ít nhất 2 người đóng vai Kiểm duyệt khi demo.</t>
  </si>
  <si>
    <t>Hai Admin khác nhau để thực hiện luồng duyệt rút tiền hai cấp.</t>
  </si>
  <si>
    <t>Thẩm định pháp lý trước khi thương mại hóa (ví/ký quỹ, bưu chính, thuế, dữ liệu cá nhân).</t>
  </si>
  <si>
    <t>Tác nhân và phân quyền</t>
  </si>
  <si>
    <t>Danh sách tác nhân; ma trận phân quyền theo vai trò (RBAC)</t>
  </si>
  <si>
    <t>1. Danh sách tác nhân</t>
  </si>
  <si>
    <t>Tác nhân</t>
  </si>
  <si>
    <t>Mục tiêu chính</t>
  </si>
  <si>
    <t>UC tham gia</t>
  </si>
  <si>
    <t>A01</t>
  </si>
  <si>
    <t>Khách vãng lai (Guest)</t>
  </si>
  <si>
    <t>Người dùng</t>
  </si>
  <si>
    <t>Người chưa đăng nhập, truy cập trang công khai và ước tính giá.</t>
  </si>
  <si>
    <t>Tìm hiểu dịch vụ, ước tính giá, đăng ký.</t>
  </si>
  <si>
    <t>UC-01</t>
  </si>
  <si>
    <t>A02</t>
  </si>
  <si>
    <t>Người gửi (Sender)</t>
  </si>
  <si>
    <t>Cá nhân có hàng cần gửi; tạo đơn, chọn người giao, ký quỹ và theo dõi.</t>
  </si>
  <si>
    <t>Gửi hàng nhanh, rẻ, an toàn và minh bạch.</t>
  </si>
  <si>
    <t>UC-11, UC-12, UC-14, UC-15, UC-17, UC-18, UC-19, UC-20, UC-21, UC-25, UC-27, UC-29, UC-30, UC-32, UC-35, UC-37, UC-44, UC-51</t>
  </si>
  <si>
    <t>A03</t>
  </si>
  <si>
    <t>Người giao (Courier / Cowork)</t>
  </si>
  <si>
    <t>Cá nhân đã xác minh, nhận giao hàng tiện đường hoặc theo đơn để có thêm thu nhập.</t>
  </si>
  <si>
    <t>Có đơn phù hợp tuyến, thu nhập rõ ràng, rút tiền dễ.</t>
  </si>
  <si>
    <t>UC-15, UC-16, UC-17, UC-18, UC-19, UC-20, UC-21, UC-22, UC-23, UC-25, UC-26, UC-28, UC-29, UC-30, UC-31, UC-32, UC-33, UC-36, UC-39, UC-40, UC-51, UC-61</t>
  </si>
  <si>
    <t>A04</t>
  </si>
  <si>
    <t>Người nhận (Recipient)</t>
  </si>
  <si>
    <t>Người dùng ngoài hệ thống</t>
  </si>
  <si>
    <t>Người nhận hàng; không cần tài khoản, tương tác qua liên kết theo dõi và OTP/QR.</t>
  </si>
  <si>
    <t>Biết hàng đang ở đâu và nhận đúng hàng.</t>
  </si>
  <si>
    <t>UC-27, UC-28</t>
  </si>
  <si>
    <t>A05</t>
  </si>
  <si>
    <t>Kiểm duyệt viên (Moderator)</t>
  </si>
  <si>
    <t>Nhân sự nội bộ</t>
  </si>
  <si>
    <t>Duyệt KYC, kiểm duyệt đơn, xử lý khiếu nại và báo cáo vi phạm.</t>
  </si>
  <si>
    <t>Giữ nền tảng an toàn, xử lý tranh chấp công bằng.</t>
  </si>
  <si>
    <t>UC-09, UC-29, UC-51, UC-54, UC-55</t>
  </si>
  <si>
    <t>A06</t>
  </si>
  <si>
    <t>Quản trị viên (Admin)</t>
  </si>
  <si>
    <t>Cấu hình hệ thống, duyệt rút tiền, đối soát, quản lý người dùng và báo cáo.</t>
  </si>
  <si>
    <t>Vận hành ổn định, kiểm soát rủi ro tài chính.</t>
  </si>
  <si>
    <t>UC-41, UC-43, UC-45, UC-46, UC-52, UC-56, UC-57, UC-58, UC-59, UC-60, UC-63</t>
  </si>
  <si>
    <t>A07</t>
  </si>
  <si>
    <t>Hệ thống (Scheduler/System)</t>
  </si>
  <si>
    <t>Hệ thống</t>
  </si>
  <si>
    <t>Tác nhân tự động theo thời gian hoặc sự kiện: hết hạn, giải ngân, đối soát, tính điểm.</t>
  </si>
  <si>
    <t>Thực thi quy tắc nghiệp vụ chính xác, đúng hạn.</t>
  </si>
  <si>
    <t>UC-21, UC-36, UC-37, UC-42, UC-43, UC-49, UC-54, UC-63</t>
  </si>
  <si>
    <t>A08</t>
  </si>
  <si>
    <t>Cổng thanh toán VNPay</t>
  </si>
  <si>
    <t>Hệ thống ngoài</t>
  </si>
  <si>
    <t>Cung cấp thanh toán trực tuyến, IPN, truy vấn và hoàn tiền.</t>
  </si>
  <si>
    <t>Thu tiền và hoàn tiền an toàn.</t>
  </si>
  <si>
    <t>UC-34, UC-35, UC-37, UC-42</t>
  </si>
  <si>
    <t>A09</t>
  </si>
  <si>
    <t>Dịch vụ bản đồ và định tuyến</t>
  </si>
  <si>
    <t>OpenStreetMap/Leaflet cho hiển thị, dịch vụ định tuyến và geocoding.</t>
  </si>
  <si>
    <t>Tính quãng đường và hiển thị bản đồ.</t>
  </si>
  <si>
    <t>UC-11, UC-12, UC-22</t>
  </si>
  <si>
    <t>A10</t>
  </si>
  <si>
    <t>Dịch vụ Email/SMS</t>
  </si>
  <si>
    <t>Gửi OTP và thông báo qua email/SMS (SMTP, SMS giả lập khi phát triển).</t>
  </si>
  <si>
    <t>Gửi thông báo tin cậy.</t>
  </si>
  <si>
    <t>UC-01, UC-02, UC-05, UC-53</t>
  </si>
  <si>
    <t>A11</t>
  </si>
  <si>
    <t>Dịch vụ chi trả (PayoutProvider)</t>
  </si>
  <si>
    <t>Hệ thống ngoài/nội bộ</t>
  </si>
  <si>
    <t>Mock, thủ công hoặc nhà cung cấp chi hộ thật dùng để chuyển tiền rút về ngân hàng.</t>
  </si>
  <si>
    <t>Chuyển tiền rút cho người giao.</t>
  </si>
  <si>
    <t>UC-41</t>
  </si>
  <si>
    <t>2. Ma trận phân quyền (RBAC)</t>
  </si>
  <si>
    <t>STT</t>
  </si>
  <si>
    <t>Chức năng</t>
  </si>
  <si>
    <t>UC</t>
  </si>
  <si>
    <t>Khách</t>
  </si>
  <si>
    <t>Kiểm duyệt</t>
  </si>
  <si>
    <t>Admin</t>
  </si>
  <si>
    <t>Xem trang giới thiệu, điều khoản, FAQ</t>
  </si>
  <si>
    <t>—</t>
  </si>
  <si>
    <t>✔</t>
  </si>
  <si>
    <t>Ước tính giá giao hàng</t>
  </si>
  <si>
    <t>UC-11</t>
  </si>
  <si>
    <t>Đăng ký tài khoản, xác thực OTP</t>
  </si>
  <si>
    <t>UC-01, UC-02</t>
  </si>
  <si>
    <t>Đăng nhập, đăng xuất, quên/đổi mật khẩu</t>
  </si>
  <si>
    <t>UC-03..06</t>
  </si>
  <si>
    <t>Quản lý hồ sơ cá nhân, sổ địa chỉ</t>
  </si>
  <si>
    <t>UC-07</t>
  </si>
  <si>
    <t>Của mình</t>
  </si>
  <si>
    <t>Gửi hồ sơ xác minh KYC</t>
  </si>
  <si>
    <t>UC-08</t>
  </si>
  <si>
    <t>Duyệt hồ sơ KYC</t>
  </si>
  <si>
    <t>UC-09</t>
  </si>
  <si>
    <t>Đăng ký làm Người giao</t>
  </si>
  <si>
    <t>UC-10</t>
  </si>
  <si>
    <t>Tạo, sửa đơn</t>
  </si>
  <si>
    <t>UC-12, UC-14</t>
  </si>
  <si>
    <t>Hủy đơn</t>
  </si>
  <si>
    <t>UC-15</t>
  </si>
  <si>
    <t>Xem danh sách và chi tiết đơn</t>
  </si>
  <si>
    <t>UC-13</t>
  </si>
  <si>
    <t>Duyệt sàn đơn</t>
  </si>
  <si>
    <t>UC-16</t>
  </si>
  <si>
    <t>Nhận đơn, gửi chào giá</t>
  </si>
  <si>
    <t>UC-17, UC-18</t>
  </si>
  <si>
    <t>Xử lý chào giá, mời trực tiếp</t>
  </si>
  <si>
    <t>UC-19, UC-20</t>
  </si>
  <si>
    <t>Gợi ý ghép đơn–chuyến</t>
  </si>
  <si>
    <t>UC-21</t>
  </si>
  <si>
    <t>Đăng và quản lý chuyến đi</t>
  </si>
  <si>
    <t>UC-22, UC-23</t>
  </si>
  <si>
    <t>Chat theo đơn</t>
  </si>
  <si>
    <t>UC-24</t>
  </si>
  <si>
    <t>Một phần</t>
  </si>
  <si>
    <t>Xác nhận lấy hàng, cập nhật hành trình, báo sự cố</t>
  </si>
  <si>
    <t>UC-25, UC-26, UC-29</t>
  </si>
  <si>
    <t>Xác nhận giao hàng, giao thất bại</t>
  </si>
  <si>
    <t>UC-28, UC-30</t>
  </si>
  <si>
    <t>Theo dõi đơn thời gian thực</t>
  </si>
  <si>
    <t>UC-27</t>
  </si>
  <si>
    <t>✔ (qua liên kết)</t>
  </si>
  <si>
    <t>Gộp đơn, đơn tiếp sức</t>
  </si>
  <si>
    <t>UC-31..33</t>
  </si>
  <si>
    <t>Nạp tiền, xem ví, lịch sử giao dịch</t>
  </si>
  <si>
    <t>UC-34, UC-38</t>
  </si>
  <si>
    <t>Thanh toán đơn và ký quỹ</t>
  </si>
  <si>
    <t>UC-35</t>
  </si>
  <si>
    <t>Liên kết tài khoản ngân hàng, rút tiền (đã KYC)</t>
  </si>
  <si>
    <t>UC-39, UC-40</t>
  </si>
  <si>
    <t>Duyệt và chi trả rút tiền (hai cấp)</t>
  </si>
  <si>
    <t>Xử lý hoàn tiền, đối soát</t>
  </si>
  <si>
    <t>UC-37, UC-43</t>
  </si>
  <si>
    <t>Áp mã khuyến mãi</t>
  </si>
  <si>
    <t>UC-44</t>
  </si>
  <si>
    <t>Quản lý khuyến mãi</t>
  </si>
  <si>
    <t>UC-45</t>
  </si>
  <si>
    <t>Cấu hình tham số hệ thống, biểu phí</t>
  </si>
  <si>
    <t>UC-46</t>
  </si>
  <si>
    <t>Đánh giá hai chiều</t>
  </si>
  <si>
    <t>UC-47</t>
  </si>
  <si>
    <t>Xem hồ sơ công khai và điểm uy tín</t>
  </si>
  <si>
    <t>UC-48</t>
  </si>
  <si>
    <t>Tạo khiếu nại</t>
  </si>
  <si>
    <t>UC-50</t>
  </si>
  <si>
    <t>Xử lý khiếu nại, phán quyết</t>
  </si>
  <si>
    <t>UC-51</t>
  </si>
  <si>
    <t>Xét duyệt bồi thường từ Quỹ bảo đảm</t>
  </si>
  <si>
    <t>UC-52</t>
  </si>
  <si>
    <t>Nhận và cấu hình thông báo</t>
  </si>
  <si>
    <t>UC-53</t>
  </si>
  <si>
    <t>✔ (SMS)</t>
  </si>
  <si>
    <t>Kiểm duyệt đơn hàng</t>
  </si>
  <si>
    <t>UC-54</t>
  </si>
  <si>
    <t>Báo cáo vi phạm</t>
  </si>
  <si>
    <t>UC-55</t>
  </si>
  <si>
    <t>Khóa và mở khóa tài khoản</t>
  </si>
  <si>
    <t>UC-56</t>
  </si>
  <si>
    <t>Đề xuất</t>
  </si>
  <si>
    <t>Quản lý người dùng và nhân sự</t>
  </si>
  <si>
    <t>UC-57</t>
  </si>
  <si>
    <t>Quản lý danh mục</t>
  </si>
  <si>
    <t>UC-58</t>
  </si>
  <si>
    <t>Dashboard và báo cáo</t>
  </si>
  <si>
    <t>UC-59</t>
  </si>
  <si>
    <t>Xem nhật ký kiểm toán</t>
  </si>
  <si>
    <t>UC-60</t>
  </si>
  <si>
    <t>Xem thu nhập và thống kê</t>
  </si>
  <si>
    <t>UC-61</t>
  </si>
  <si>
    <t>Huy hiệu, thưởng, giới thiệu bạn bè</t>
  </si>
  <si>
    <t>UC-62</t>
  </si>
  <si>
    <t>Xem trạng thái tác vụ định kỳ</t>
  </si>
  <si>
    <t>UC-63</t>
  </si>
  <si>
    <t>Chú giải: ✔ = được thực hiện; Của mình = chỉ dữ liệu thuộc quyền; Một phần = chỉ một số thao tác hoặc dữ liệu; Đề xuất = chỉ được đề xuất, Admin quyết định; — = không có quyền.</t>
  </si>
  <si>
    <t>Danh mục BR – Business Requirements</t>
  </si>
  <si>
    <t>Functional • Non-functional • Business Rule • Business Constraint • Business Goal  |  Mọi giá trị số lấy từ sheet 06_Tham_số (mã trong [PRM-xxx])</t>
  </si>
  <si>
    <t>Loại BR</t>
  </si>
  <si>
    <t>Phân hệ</t>
  </si>
  <si>
    <t>Tiêu đề</t>
  </si>
  <si>
    <t>Mô tả yêu cầu</t>
  </si>
  <si>
    <t>Tác nhân / Chủ thể</t>
  </si>
  <si>
    <t>UC liên quan</t>
  </si>
  <si>
    <t>Ưu tiên</t>
  </si>
  <si>
    <t>Pha</t>
  </si>
  <si>
    <t>Tiêu chí nghiệm thu / đo lường</t>
  </si>
  <si>
    <t>Tham số liên quan</t>
  </si>
  <si>
    <t>Căn cứ</t>
  </si>
  <si>
    <t>BR-F-001</t>
  </si>
  <si>
    <t>Functional BR</t>
  </si>
  <si>
    <t>Đăng ký tài khoản</t>
  </si>
  <si>
    <t>Hệ thống cho phép khách đăng ký tài khoản bằng họ tên, email, số điện thoại và mật khẩu sau khi đồng ý Điều khoản sử dụng và Chính sách dữ liệu cá nhân (có ghi nhận phiên bản và thời điểm đồng ý).</t>
  </si>
  <si>
    <t>Must</t>
  </si>
  <si>
    <t>Pha 1</t>
  </si>
  <si>
    <t>Đăng ký hợp lệ tạo tài khoản trạng thái Chờ xác thực và lưu bản ghi đồng ý chính sách.</t>
  </si>
  <si>
    <t>Nhu cầu người dùng</t>
  </si>
  <si>
    <t>Dự thảo</t>
  </si>
  <si>
    <t>BR-F-002</t>
  </si>
  <si>
    <t>Xác thực OTP</t>
  </si>
  <si>
    <t>Hệ thống gửi OTP đến email hoặc số điện thoại và cho phép người dùng xác thực để kích hoạt tài khoản.</t>
  </si>
  <si>
    <t>UC-02</t>
  </si>
  <si>
    <t>Nhập đúng OTP: tài khoản chuyển Hoạt động; sai/hết hạn: báo lỗi đúng mã.</t>
  </si>
  <si>
    <t>BR-F-003</t>
  </si>
  <si>
    <t>Đăng nhập và cấp token</t>
  </si>
  <si>
    <t>Hệ thống cho phép đăng nhập bằng email hoặc số điện thoại và mật khẩu, trả về Access Token và Refresh Token theo cơ chế JWT.</t>
  </si>
  <si>
    <t>UC-03</t>
  </si>
  <si>
    <t>Đăng nhập đúng trả token hợp lệ; sai trả 401 không tiết lộ trường nào sai.</t>
  </si>
  <si>
    <t>BR-F-004</t>
  </si>
  <si>
    <t>Đăng nhập nhanh bằng Google</t>
  </si>
  <si>
    <t>Hệ thống cho phép đăng nhập hoặc đăng ký nhanh bằng tài khoản Google (OAuth2), tự động nhận diện email thuộc tên miền FPT để cấp huy hiệu cộng đồng.</t>
  </si>
  <si>
    <t>UC-03, UC-07</t>
  </si>
  <si>
    <t>Could</t>
  </si>
  <si>
    <t>Pha 3</t>
  </si>
  <si>
    <t>Đăng nhập Google tạo/liên kết tài khoản đúng email; email @fpt.edu.vn nhận huy hiệu.</t>
  </si>
  <si>
    <t>BR-F-005</t>
  </si>
  <si>
    <t>Đăng xuất và quản lý thiết bị</t>
  </si>
  <si>
    <t>Hệ thống cho phép đăng xuất, xem danh sách thiết bị/phiên đang đăng nhập và thu hồi từng phiên từ xa.</t>
  </si>
  <si>
    <t>UC-04</t>
  </si>
  <si>
    <t>Thu hồi phiên: token của phiên đó bị vô hiệu ngay.</t>
  </si>
  <si>
    <t>BR-F-006</t>
  </si>
  <si>
    <t>Quên và đặt lại mật khẩu</t>
  </si>
  <si>
    <t>Hệ thống cho phép đặt lại mật khẩu bằng OTP gửi tới email hoặc số điện thoại đã đăng ký; sau khi đặt lại, mọi phiên cũ bị thu hồi.</t>
  </si>
  <si>
    <t>UC-05</t>
  </si>
  <si>
    <t>Đặt lại thành công: đăng nhập được bằng mật khẩu mới, phiên cũ mất hiệu lực.</t>
  </si>
  <si>
    <t>BR-F-007</t>
  </si>
  <si>
    <t>Đổi mật khẩu</t>
  </si>
  <si>
    <t>Hệ thống cho phép người dùng đang đăng nhập đổi mật khẩu sau khi nhập đúng mật khẩu hiện tại.</t>
  </si>
  <si>
    <t>UC-06</t>
  </si>
  <si>
    <t>Đổi thành công gửi thông báo bảo mật; sai mật khẩu cũ bị từ chối.</t>
  </si>
  <si>
    <t>BR-F-008</t>
  </si>
  <si>
    <t>Quản lý hồ sơ cá nhân</t>
  </si>
  <si>
    <t>Hệ thống cho phép người dùng xem và cập nhật hồ sơ cá nhân gồm họ tên, ảnh đại diện, ngày sinh, giới thiệu ngắn và thông tin liên hệ; việc đổi email/số điện thoại phải xác thực lại bằng OTP.</t>
  </si>
  <si>
    <t>Cập nhật lưu đúng; đổi email chưa xác thực OTP không có hiệu lực.</t>
  </si>
  <si>
    <t>BR-F-009</t>
  </si>
  <si>
    <t>Sổ địa chỉ</t>
  </si>
  <si>
    <t>Hệ thống cho phép người gửi lưu, sửa, xóa các địa chỉ thường dùng (nhà, ký túc xá, cơ quan) kèm tọa độ để chọn nhanh khi tạo đơn.</t>
  </si>
  <si>
    <t>UC-07, UC-12</t>
  </si>
  <si>
    <t>Chọn địa chỉ đã lưu tự điền điểm lấy/giao và tọa độ.</t>
  </si>
  <si>
    <t>BR-F-010</t>
  </si>
  <si>
    <t>Nộp hồ sơ xác minh</t>
  </si>
  <si>
    <t>Hệ thống cho phép người dùng tải ảnh CCCD hai mặt và ảnh chân dung cầm CCCD, nhập thông tin CCCD và gửi hồ sơ xác minh.</t>
  </si>
  <si>
    <t>Hồ sơ gửi đi ở trạng thái Chờ duyệt; ảnh lưu mã hóa.</t>
  </si>
  <si>
    <t>BR-F-011</t>
  </si>
  <si>
    <t>Hàng đợi duyệt hồ sơ</t>
  </si>
  <si>
    <t>Hệ thống cung cấp cho Kiểm duyệt hàng đợi hồ sơ KYC với ảnh, thông tin đối chiếu và cảnh báo trùng; cho phép duyệt hoặc từ chối kèm lý do.</t>
  </si>
  <si>
    <t>Duyệt/từ chối cập nhật trạng thái và gửi thông báo cho người dùng.</t>
  </si>
  <si>
    <t>BR-F-012</t>
  </si>
  <si>
    <t>Hệ thống cho phép người dùng đã xác minh đăng ký vai trò Người giao: chọn phương tiện, khu vực hoạt động, khung giờ thường rảnh và xác nhận cam kết trách nhiệm.</t>
  </si>
  <si>
    <t>Đăng ký xong người dùng thấy được sàn đơn và chức năng nhận đơn.</t>
  </si>
  <si>
    <t>BR-F-013</t>
  </si>
  <si>
    <t>Chuyển đổi vai trò trên giao diện</t>
  </si>
  <si>
    <t>Hệ thống cho phép người dùng có cả hai vai trò chuyển nhanh giữa chế độ Người gửi và Người giao mà không cần đăng nhập lại.</t>
  </si>
  <si>
    <t>Chuyển chế độ đổi menu và dữ liệu hiển thị tương ứng.</t>
  </si>
  <si>
    <t>BR-F-014</t>
  </si>
  <si>
    <t>Ước tính giá trước khi đăng</t>
  </si>
  <si>
    <t>Hệ thống tính và hiển thị giá gợi ý cùng bảng chi tiết (phí cơ bản, quãng đường, phụ phí, hệ số khẩn cấp, bảo hiểm) ngay khi người gửi nhập điểm lấy, điểm giao và thông tin hàng.</t>
  </si>
  <si>
    <t>Giá hiển thị khớp công thức sheet 07; thay đổi thông tin hàng cập nhật giá tức thì.</t>
  </si>
  <si>
    <t>BR-F-015</t>
  </si>
  <si>
    <t>Chọn điểm lấy và điểm giao</t>
  </si>
  <si>
    <t>Hệ thống cho phép người gửi chọn điểm lấy và điểm giao bằng cách ghim trên bản đồ, tìm kiếm địa chỉ hoặc chọn từ sổ địa chỉ; hiển thị quãng đường ước tính.</t>
  </si>
  <si>
    <t>UC-11, UC-12</t>
  </si>
  <si>
    <t>Điểm chọn có tọa độ và địa chỉ chuẩn hóa; hiển thị quãng đường.</t>
  </si>
  <si>
    <t>BR-F-016</t>
  </si>
  <si>
    <t>Khai báo hàng hóa</t>
  </si>
  <si>
    <t>Hệ thống cho phép khai báo loại hàng, mô tả, khối lượng, kích thước, giá trị khai báo và đặc tính (dễ vỡ, chống ẩm), đồng thời kiểm tra giới hạn hàng hóa ngay trên biểu mẫu.</t>
  </si>
  <si>
    <t>UC-12</t>
  </si>
  <si>
    <t>Biểu mẫu chặn giá trị vượt giới hạn trước khi gửi.</t>
  </si>
  <si>
    <t>BR-F-017</t>
  </si>
  <si>
    <t>Ảnh hàng và thông tin người nhận</t>
  </si>
  <si>
    <t>Hệ thống cho phép tải ảnh hàng hóa, nhập tên và số điện thoại người nhận, ghi chú cho người giao.</t>
  </si>
  <si>
    <t>Tạo đơn thiếu ảnh/người nhận bị từ chối.</t>
  </si>
  <si>
    <t>BR-F-018</t>
  </si>
  <si>
    <t>Tùy chọn giao gấp, hẹn giờ và bảo hiểm</t>
  </si>
  <si>
    <t>Hệ thống cho phép chọn mức khẩn cấp (thường, trong ngày, gấp), giờ hẹn lấy hàng, hạn giao và mua bảo hiểm tùy chọn.</t>
  </si>
  <si>
    <t>UC-12, UC-11</t>
  </si>
  <si>
    <t>Mỗi tùy chọn làm thay đổi giá đúng công thức.</t>
  </si>
  <si>
    <t>BR-F-019</t>
  </si>
  <si>
    <t>Chọn cách tìm người giao</t>
  </si>
  <si>
    <t>Hệ thống cho phép người gửi chọn đăng lên sàn công khai hoặc mời trực tiếp một người giao cụ thể.</t>
  </si>
  <si>
    <t>UC-12, UC-20</t>
  </si>
  <si>
    <t>Đăng sàn chuyển đơn sang kiểm duyệt/Đang mở; mời trực tiếp gửi lời mời đến người được chọn.</t>
  </si>
  <si>
    <t>BR-F-020</t>
  </si>
  <si>
    <t>Lưu nháp và đăng đơn</t>
  </si>
  <si>
    <t>Hệ thống cho phép lưu đơn nháp và hoàn thiện sau; chỉ khi đăng đơn mới chạy kiểm duyệt và hiển thị trên sàn.</t>
  </si>
  <si>
    <t>UC-12, UC-13</t>
  </si>
  <si>
    <t>Should</t>
  </si>
  <si>
    <t>Pha 2</t>
  </si>
  <si>
    <t>Đơn nháp không xuất hiện trên sàn; có thể tiếp tục chỉnh sửa.</t>
  </si>
  <si>
    <t>BR-F-021</t>
  </si>
  <si>
    <t>Danh sách đơn của tôi</t>
  </si>
  <si>
    <t>Hệ thống hiển thị danh sách đơn của người dùng theo vai trò, có lọc theo trạng thái, khoảng thời gian, tìm theo mã vận đơn và phân trang.</t>
  </si>
  <si>
    <t>Lọc/tìm/phân trang đúng; người dùng chỉ thấy đơn của mình.</t>
  </si>
  <si>
    <t>BR-F-022</t>
  </si>
  <si>
    <t>Chi tiết đơn và dòng thời gian</t>
  </si>
  <si>
    <t>Hệ thống hiển thị chi tiết đơn, người giao, giá, bằng chứng giao nhận và dòng thời gian các sự kiện của đơn.</t>
  </si>
  <si>
    <t>UC-13, UC-27</t>
  </si>
  <si>
    <t>Mỗi chuyển trạng thái xuất hiện trên dòng thời gian theo thứ tự.</t>
  </si>
  <si>
    <t>BR-F-023</t>
  </si>
  <si>
    <t>Sửa đơn</t>
  </si>
  <si>
    <t>Hệ thống cho phép người gửi sửa thông tin đơn khi còn được phép, hiển thị cảnh báo về ảnh hưởng đến chào giá hiện có.</t>
  </si>
  <si>
    <t>UC-14</t>
  </si>
  <si>
    <t>Sửa hợp lệ lưu và thông báo các người giao đã chào giá.</t>
  </si>
  <si>
    <t>BR-F-024</t>
  </si>
  <si>
    <t>Hệ thống cho phép người gửi và người giao hủy đơn theo quy tắc hủy; hiển thị trước phí hủy và số tiền hoàn lại để người dùng xác nhận.</t>
  </si>
  <si>
    <t>Xác nhận hủy tạo bút toán và trạng thái đúng quy tắc.</t>
  </si>
  <si>
    <t>BR-F-025</t>
  </si>
  <si>
    <t>Đặt lại đơn cũ</t>
  </si>
  <si>
    <t>Hệ thống cho phép tạo đơn mới từ một đơn đã hoàn tất hoặc đã hủy bằng cách sao chép thông tin.</t>
  </si>
  <si>
    <t>Đơn mới được điền sẵn dữ liệu từ đơn cũ, giá tính lại.</t>
  </si>
  <si>
    <t>BR-F-026</t>
  </si>
  <si>
    <t>Danh sách sàn đơn</t>
  </si>
  <si>
    <t>Hệ thống hiển thị danh sách đơn đang mở dạng thẻ gồm tuyến, khoảng cách, giá, khối lượng, thời hạn và hạng yêu cầu, có phân trang hoặc cuộn vô hạn.</t>
  </si>
  <si>
    <t>Danh sách chỉ gồm đơn OPEN; thẻ hiển thị đủ thông tin.</t>
  </si>
  <si>
    <t>BR-F-027</t>
  </si>
  <si>
    <t>Lọc và sắp xếp sàn đơn</t>
  </si>
  <si>
    <t>Hệ thống cho phép lọc theo khu vực, khoảng cách từ vị trí hiện tại, mức giá, khối lượng, mức khẩn cấp và sắp xếp theo mới nhất, gần nhất, giá cao nhất.</t>
  </si>
  <si>
    <t>Kết hợp nhiều bộ lọc cho kết quả đúng.</t>
  </si>
  <si>
    <t>BR-F-028</t>
  </si>
  <si>
    <t>Xem sàn đơn trên bản đồ</t>
  </si>
  <si>
    <t>Hệ thống cho phép xem các đơn đang mở trên bản đồ dạng điểm/cụm và mở nhanh chi tiết đơn.</t>
  </si>
  <si>
    <t>Bản đồ hiển thị đúng vị trí điểm lấy của các đơn trong khung nhìn.</t>
  </si>
  <si>
    <t>BR-F-029</t>
  </si>
  <si>
    <t>Nhận đơn theo giá niêm yết</t>
  </si>
  <si>
    <t>Hệ thống cho phép người giao đủ điều kiện nhận ngay đơn theo giá người gửi đặt; kiểm tra hạn mức và hạng trước khi xác nhận.</t>
  </si>
  <si>
    <t>UC-17</t>
  </si>
  <si>
    <t>Nhận thành công chuyển đơn sang Chờ ký quỹ; vi phạm điều kiện bị từ chối kèm lý do.</t>
  </si>
  <si>
    <t>BR-F-030</t>
  </si>
  <si>
    <t>Gửi chào giá</t>
  </si>
  <si>
    <t>Hệ thống cho phép người giao gửi chào giá kèm lời nhắn và thời gian lấy dự kiến.</t>
  </si>
  <si>
    <t>UC-18</t>
  </si>
  <si>
    <t>Chào giá trong biên hợp lệ được lưu và thông báo người gửi.</t>
  </si>
  <si>
    <t>BR-F-031</t>
  </si>
  <si>
    <t>Xem và so sánh chào giá</t>
  </si>
  <si>
    <t>Hệ thống hiển thị cho người gửi danh sách chào giá của một đơn kèm giá, hạng, điểm uy tín, số đơn hoàn tất, tỷ lệ đúng hạn và huy hiệu của người giao.</t>
  </si>
  <si>
    <t>UC-19, UC-48</t>
  </si>
  <si>
    <t>Danh sách sắp xếp được theo giá và uy tín.</t>
  </si>
  <si>
    <t>BR-F-032</t>
  </si>
  <si>
    <t>Chấp nhận, từ chối và phản giá</t>
  </si>
  <si>
    <t>Hệ thống cho phép người gửi chấp nhận, từ chối hoặc đề xuất giá khác cho từng chào giá.</t>
  </si>
  <si>
    <t>UC-19</t>
  </si>
  <si>
    <t>Chấp nhận chuyển đơn sang Chờ ký quỹ; từ chối/phản giá thông báo cho người giao.</t>
  </si>
  <si>
    <t>BR-F-033</t>
  </si>
  <si>
    <t>Mời trực tiếp và người giao yêu thích</t>
  </si>
  <si>
    <t>Hệ thống cho phép người gửi lưu người giao yêu thích và gửi lời mời nhận đơn trực tiếp tới họ.</t>
  </si>
  <si>
    <t>UC-20</t>
  </si>
  <si>
    <t>Lời mời hiển thị cho người giao và hết hạn đúng cấu hình.</t>
  </si>
  <si>
    <t>BR-F-034</t>
  </si>
  <si>
    <t>Hệ thống tự động gợi ý cho người giao các đơn phù hợp với chuyến đi đã đăng và gợi ý cho người gửi các người giao có chuyến tiện đường, xếp hạng theo điểm phù hợp.</t>
  </si>
  <si>
    <t>Gợi ý nằm trong độ lệch tuyến cho phép và xếp theo điểm giảm dần.</t>
  </si>
  <si>
    <t>BR-F-035</t>
  </si>
  <si>
    <t>Đăng ký nhận đơn theo khu vực</t>
  </si>
  <si>
    <t>Hệ thống cho phép người giao đăng ký khu vực hoặc tuyến muốn nhận thông báo khi có đơn mới phù hợp.</t>
  </si>
  <si>
    <t>UC-16, UC-53</t>
  </si>
  <si>
    <t>Đơn mới trong khu vực đã đăng ký tạo thông báo cho người giao.</t>
  </si>
  <si>
    <t>BR-F-036</t>
  </si>
  <si>
    <t>Đăng chuyến đi</t>
  </si>
  <si>
    <t>Hệ thống cho phép người giao đăng chuyến đi gồm điểm đi, điểm đến, giờ khởi hành, phương tiện, sức chứa và giá sàn mong muốn.</t>
  </si>
  <si>
    <t>UC-22</t>
  </si>
  <si>
    <t>Chuyến lưu thành công và xuất hiện cho tính năng gợi ý ghép.</t>
  </si>
  <si>
    <t>BR-F-037</t>
  </si>
  <si>
    <t>Chuyến đi định kỳ</t>
  </si>
  <si>
    <t>Hệ thống cho phép đặt chuyến lặp lại theo ngày trong tuần (ví dụ tuyến đi học/đi làm hằng ngày).</t>
  </si>
  <si>
    <t>Chuyến lặp tự sinh các lần khởi hành trong 4 tuần tới.</t>
  </si>
  <si>
    <t>BR-F-038</t>
  </si>
  <si>
    <t>Đơn gợi ý cho chuyến</t>
  </si>
  <si>
    <t>Hệ thống hiển thị danh sách đơn phù hợp cho từng chuyến, cho phép nhận hoặc chào giá nhanh từ danh sách.</t>
  </si>
  <si>
    <t>UC-21, UC-22</t>
  </si>
  <si>
    <t>Nhận từ danh sách gợi ý cho kết quả như nhận từ sàn.</t>
  </si>
  <si>
    <t>BR-F-039</t>
  </si>
  <si>
    <t>Quản lý chuyến đi</t>
  </si>
  <si>
    <t>Hệ thống cho phép sửa, hủy và kết thúc chuyến đi; hiển thị các đơn đã gắn với chuyến.</t>
  </si>
  <si>
    <t>UC-23</t>
  </si>
  <si>
    <t>Thao tác tuân theo quy tắc hủy chuyến có đơn.</t>
  </si>
  <si>
    <t>BR-F-040</t>
  </si>
  <si>
    <t>Bật tắt nhận đơn cho chuyến</t>
  </si>
  <si>
    <t>Hệ thống cho phép người giao tạm dừng hoặc mở lại việc nhận đơn mới cho một chuyến.</t>
  </si>
  <si>
    <t>Chuyến tạm dừng không xuất hiện trong gợi ý mới.</t>
  </si>
  <si>
    <t>BR-F-041</t>
  </si>
  <si>
    <t>Chat theo đơn thời gian thực</t>
  </si>
  <si>
    <t>Hệ thống cung cấp phòng chat giữa người gửi và người giao cho từng đơn, tin nhắn đến người nhận trong vài giây.</t>
  </si>
  <si>
    <t>Tin nhắn hiển thị ở phía bên kia ≤ 3 giây; lưu vào lịch sử.</t>
  </si>
  <si>
    <t>BR-F-042</t>
  </si>
  <si>
    <t>Gửi ảnh trong chat</t>
  </si>
  <si>
    <t>Hệ thống cho phép gửi ảnh trong chat để xác nhận tình trạng hàng và địa điểm.</t>
  </si>
  <si>
    <t>Ảnh gửi đi hiển thị ở hai bên, tuân thủ giới hạn tệp.</t>
  </si>
  <si>
    <t>BR-F-043</t>
  </si>
  <si>
    <t>Trạng thái đã đọc và đang nhập</t>
  </si>
  <si>
    <t>Hệ thống hiển thị trạng thái tin nhắn đã đọc và chỉ báo đối phương đang nhập.</t>
  </si>
  <si>
    <t>Đã đọc cập nhật khi bên kia mở phòng chat.</t>
  </si>
  <si>
    <t>BR-F-044</t>
  </si>
  <si>
    <t>Báo cáo tin nhắn vi phạm</t>
  </si>
  <si>
    <t>Hệ thống cho phép báo cáo tin nhắn có nội dung quấy rối hoặc lừa đảo để Kiểm duyệt xem xét.</t>
  </si>
  <si>
    <t>UC-24, UC-55</t>
  </si>
  <si>
    <t>Báo cáo tạo bản ghi gắn với tin nhắn và đơn.</t>
  </si>
  <si>
    <t>BR-F-045</t>
  </si>
  <si>
    <t>Lưu trữ và truy xuất lịch sử chat</t>
  </si>
  <si>
    <t>Hệ thống lưu lịch sử chat theo đơn và cho phép Kiểm duyệt truy xuất khi xử lý khiếu nại.</t>
  </si>
  <si>
    <t>UC-24, UC-51</t>
  </si>
  <si>
    <t>Kiểm duyệt xem được chat của đơn khiếu nại; mỗi lần xem được ghi nhật ký.</t>
  </si>
  <si>
    <t>BR-F-046</t>
  </si>
  <si>
    <t>Mã QR lấy hàng</t>
  </si>
  <si>
    <t>Hệ thống sinh mã QR lấy hàng gắn với đơn cho người gửi; người giao quét hoặc nhập mã để xác nhận đúng người, đúng đơn tại điểm lấy.</t>
  </si>
  <si>
    <t>UC-25</t>
  </si>
  <si>
    <t>Quét mã đúng chuyển bước xác nhận; mã sai/đơn khác bị từ chối.</t>
  </si>
  <si>
    <t>BR-F-047</t>
  </si>
  <si>
    <t>Ảnh xác nhận lấy hàng</t>
  </si>
  <si>
    <t>Hệ thống yêu cầu người giao chụp ảnh hàng tại điểm lấy trước khi chuyển đơn sang Đã lấy hàng và lưu ảnh làm bằng chứng.</t>
  </si>
  <si>
    <t>Không có ảnh thì không chuyển được trạng thái.</t>
  </si>
  <si>
    <t>BR-F-048</t>
  </si>
  <si>
    <t>Chia sẻ vị trí thời gian thực</t>
  </si>
  <si>
    <t>Hệ thống thu thập vị trí của người giao theo chu kỳ cấu hình khi đang giao và truyền đến người theo dõi.</t>
  </si>
  <si>
    <t>UC-26</t>
  </si>
  <si>
    <t>Điểm vị trí được lưu ở MongoDB và đẩy qua WebSocket.</t>
  </si>
  <si>
    <t>BR-F-049</t>
  </si>
  <si>
    <t>Cập nhật trạng thái hành trình</t>
  </si>
  <si>
    <t>Hệ thống cho phép người giao cập nhật các mốc: Đã lấy hàng, Đang giao, Đã đến điểm giao; mỗi mốc ghi vào lịch sử và thông báo người liên quan.</t>
  </si>
  <si>
    <t>Mỗi mốc cập nhật xuất hiện trên timeline của người gửi/nhận.</t>
  </si>
  <si>
    <t>BR-F-050</t>
  </si>
  <si>
    <t>Bản đồ theo dõi và thời gian dự kiến</t>
  </si>
  <si>
    <t>Hệ thống hiển thị bản đồ có vị trí người giao, tuyến đường, điểm lấy/giao và thời gian giao dự kiến (ETA) cho người gửi và người nhận.</t>
  </si>
  <si>
    <t>Bản đồ cập nhật theo vị trí mới; ETA thay đổi theo khoảng cách còn lại.</t>
  </si>
  <si>
    <t>BR-F-051</t>
  </si>
  <si>
    <t>Liên kết theo dõi cho người nhận</t>
  </si>
  <si>
    <t>Hệ thống sinh liên kết theo dõi công khai cho người nhận (không cần tài khoản), gửi qua SMS hoặc email, hiển thị tiến trình và vị trí người giao.</t>
  </si>
  <si>
    <t>Mở liên kết không cần đăng nhập và chỉ hiển thị thông tin tối thiểu.</t>
  </si>
  <si>
    <t>BR-F-052</t>
  </si>
  <si>
    <t>Gửi OTP giao hàng</t>
  </si>
  <si>
    <t>Hệ thống gửi OTP giao hàng cho người nhận khi đơn chuyển sang Đang giao và cho phép gửi lại có giới hạn.</t>
  </si>
  <si>
    <t>UC-28</t>
  </si>
  <si>
    <t>Người nhận nhận OTP; gửi lại tuân thủ giới hạn tần suất.</t>
  </si>
  <si>
    <t>BR-F-053</t>
  </si>
  <si>
    <t>Xác nhận giao hàng</t>
  </si>
  <si>
    <t>Hệ thống cho phép người giao nhập OTP hoặc quét QR của người nhận, chụp ảnh tại điểm giao để xác nhận Đã giao; hỗ trợ xác nhận ngoại lệ có lý do.</t>
  </si>
  <si>
    <t>Giao đúng OTP chuyển Đã giao; ngoại lệ lưu ảnh, tọa độ và lý do.</t>
  </si>
  <si>
    <t>BR-F-054</t>
  </si>
  <si>
    <t>Báo sự cố khi giao</t>
  </si>
  <si>
    <t>Hệ thống cho phép người giao báo sự cố (kẹt xe, hư hỏng hàng, thay đổi thời gian, không liên lạc được người nhận) và thông báo tức thời cho người gửi.</t>
  </si>
  <si>
    <t>UC-29</t>
  </si>
  <si>
    <t>Sự cố được ghi nhận, kèm ảnh nếu có, và gắn vào timeline.</t>
  </si>
  <si>
    <t>BR-F-055</t>
  </si>
  <si>
    <t>Giao thất bại và hoàn hàng</t>
  </si>
  <si>
    <t>Hệ thống hỗ trợ quy trình giao thất bại: ghi nhận bằng chứng liên hệ, chuyển đơn sang Đang hoàn, xác nhận trả hàng bằng QR/OTP của người gửi và tính phí hoàn.</t>
  </si>
  <si>
    <t>UC-30</t>
  </si>
  <si>
    <t>Hoàn hàng xác nhận bằng mã của người gửi; bút toán phí đúng.</t>
  </si>
  <si>
    <t>BR-F-056</t>
  </si>
  <si>
    <t>Cảnh báo bất thường hành trình</t>
  </si>
  <si>
    <t>Hệ thống phát hiện người giao đứng yên quá lâu hoặc đi lệch tuyến quá ngưỡng khi đang giao và gửi cảnh báo cho người gửi và Kiểm duyệt.</t>
  </si>
  <si>
    <t>UC-26, UC-55</t>
  </si>
  <si>
    <t>Giả lập đứng yên/lệch tuyến tạo cảnh báo.</t>
  </si>
  <si>
    <t>BR-F-057</t>
  </si>
  <si>
    <t>Gộp nhiều đơn cùng tuyến</t>
  </si>
  <si>
    <t>Hệ thống cho phép người giao chọn nhiều đơn cùng tuyến để giao trong một lượt.</t>
  </si>
  <si>
    <t>UC-31</t>
  </si>
  <si>
    <t>Gộp hợp lệ tạo một lượt giao có danh sách đơn.</t>
  </si>
  <si>
    <t>BR-F-058</t>
  </si>
  <si>
    <t>Gợi ý thứ tự điểm dừng</t>
  </si>
  <si>
    <t>Hệ thống gợi ý thứ tự lấy và giao các đơn trong lượt gộp để quãng đường ngắn nhất.</t>
  </si>
  <si>
    <t>Thứ tự gợi ý có tổng quãng đường không dài hơn thứ tự nhập tay.</t>
  </si>
  <si>
    <t>BR-F-059</t>
  </si>
  <si>
    <t>Tạo đơn tiếp sức</t>
  </si>
  <si>
    <t>Hệ thống cho phép người gửi chọn giao tiếp sức cho tuyến dài, tự đề xuất các chặng và điểm bàn giao theo quy tắc.</t>
  </si>
  <si>
    <t>UC-32</t>
  </si>
  <si>
    <t>Đơn tiếp sức tạo các chặng với phí chia đúng tỷ lệ.</t>
  </si>
  <si>
    <t>BR-F-060</t>
  </si>
  <si>
    <t>Bàn giao giữa các chặng</t>
  </si>
  <si>
    <t>Hệ thống hỗ trợ bàn giao hàng giữa hai người giao bằng quét QR, ảnh hàng và xác nhận hai bên.</t>
  </si>
  <si>
    <t>UC-33</t>
  </si>
  <si>
    <t>Bàn giao xong chuyển trách nhiệm chặng sang người giao kế tiếp.</t>
  </si>
  <si>
    <t>BR-F-061</t>
  </si>
  <si>
    <t>Điểm hẹn bàn giao an toàn</t>
  </si>
  <si>
    <t>Hệ thống đề xuất các điểm hẹn công cộng đã được duyệt (cổng trường, thư viện, quầy dịch vụ) làm điểm bàn giao.</t>
  </si>
  <si>
    <t>UC-33, UC-58</t>
  </si>
  <si>
    <t>Điểm hẹn lấy từ danh mục do Admin quản lý.</t>
  </si>
  <si>
    <t>BR-F-062</t>
  </si>
  <si>
    <t>Theo dõi tổng hành trình tiếp sức</t>
  </si>
  <si>
    <t>Hệ thống hiển thị cho người gửi và người nhận tiến trình tổng hợp của đơn qua từng chặng.</t>
  </si>
  <si>
    <t>UC-27, UC-32</t>
  </si>
  <si>
    <t>Timeline hiển thị đủ từng chặng và người giao.</t>
  </si>
  <si>
    <t>BR-F-063</t>
  </si>
  <si>
    <t>Nạp tiền vào ví qua VNPay</t>
  </si>
  <si>
    <t>Hệ thống cho phép người dùng chọn số tiền nạp và chuyển sang cổng VNPay để thanh toán bằng QR, thẻ nội địa hoặc ví điện tử được VNPay hỗ trợ.</t>
  </si>
  <si>
    <t>UC-34</t>
  </si>
  <si>
    <t>Chọn số tiền hợp lệ chuyển hướng sang VNPay trong ≤ 3 giây.</t>
  </si>
  <si>
    <t>BR-F-064</t>
  </si>
  <si>
    <t>Tạo liên kết thanh toán có chữ ký</t>
  </si>
  <si>
    <t>Hệ thống tạo yêu cầu thanh toán gồm mã tham chiếu duy nhất, số tiền, nội dung và chữ ký HMAC-SHA512 theo đặc tả VNPay.</t>
  </si>
  <si>
    <t>UC-34, UC-35</t>
  </si>
  <si>
    <t>Liên kết hợp lệ được VNPay chấp nhận trên sandbox.</t>
  </si>
  <si>
    <t>BR-F-065</t>
  </si>
  <si>
    <t>Trang kết quả thanh toán</t>
  </si>
  <si>
    <t>Hệ thống hiển thị trang kết quả khi VNPay chuyển người dùng quay lại, thể hiện trạng thái dựa trên dữ liệu hệ thống đã xác minh chứ không dựa vào tham số trên URL.</t>
  </si>
  <si>
    <t>Trạng thái hiển thị khớp trạng thái trong CSDL.</t>
  </si>
  <si>
    <t>BR-F-066</t>
  </si>
  <si>
    <t>Xử lý IPN từ VNPay</t>
  </si>
  <si>
    <t>Hệ thống nhận thông báo IPN của VNPay, xác minh chữ ký, đối chiếu số tiền và mã tham chiếu, cập nhật giao dịch và ví một cách idempotent, rồi phản hồi đúng định dạng VNPay yêu cầu.</t>
  </si>
  <si>
    <t>UC-42</t>
  </si>
  <si>
    <t>IPN lặp nhiều lần chỉ cộng tiền một lần; IPN sai chữ ký bị từ chối.</t>
  </si>
  <si>
    <t>BR-F-067</t>
  </si>
  <si>
    <t>Truy vấn lại giao dịch treo</t>
  </si>
  <si>
    <t>Hệ thống tự động truy vấn kết quả giao dịch VNPay đối với giao dịch ở trạng thái chờ quá thời hạn để chốt trạng thái cuối.</t>
  </si>
  <si>
    <t>UC-42, UC-63</t>
  </si>
  <si>
    <t>Giao dịch treo được chốt Thành công hoặc Thất bại sau truy vấn.</t>
  </si>
  <si>
    <t>BR-F-068</t>
  </si>
  <si>
    <t>Hiển thị ví</t>
  </si>
  <si>
    <t>Hệ thống hiển thị số dư khả dụng, số tiền đang ký quỹ và số tiền đang chờ rút của người dùng theo thời gian thực.</t>
  </si>
  <si>
    <t>UC-38</t>
  </si>
  <si>
    <t>Ba số dư khớp sổ cái sau mỗi giao dịch.</t>
  </si>
  <si>
    <t>BR-F-069</t>
  </si>
  <si>
    <t>Lịch sử giao dịch và sao kê</t>
  </si>
  <si>
    <t>Hệ thống hiển thị lịch sử giao dịch ví có lọc theo loại, thời gian, đơn hàng và cho phép xuất sao kê.</t>
  </si>
  <si>
    <t>Lọc đúng; sao kê xuất ra khớp số liệu trên màn hình.</t>
  </si>
  <si>
    <t>BR-F-070</t>
  </si>
  <si>
    <t>Thanh toán đơn bằng ví</t>
  </si>
  <si>
    <t>Hệ thống cho phép người gửi dùng số dư ví để ký quỹ cho đơn khi chọn người giao.</t>
  </si>
  <si>
    <t>Số dư khả dụng giảm, ký quỹ tăng đúng số tiền.</t>
  </si>
  <si>
    <t>BR-F-071</t>
  </si>
  <si>
    <t>Thanh toán trực tiếp bằng VNPay</t>
  </si>
  <si>
    <t>Hệ thống cho phép người gửi thanh toán ký quỹ trực tiếp qua VNPay cho từng đơn mà không cần nạp ví trước.</t>
  </si>
  <si>
    <t>UC-35, UC-34</t>
  </si>
  <si>
    <t>Thanh toán VNPay thành công chuyển đơn sang Đã ký quỹ.</t>
  </si>
  <si>
    <t>BR-F-072</t>
  </si>
  <si>
    <t>Ký quỹ tiền đơn hàng</t>
  </si>
  <si>
    <t>Hệ thống ghi sổ cái khoản ký quỹ khi thanh toán thành công và gắn khoản đó với đơn hàng cho đến khi giải ngân hoặc hoàn tiền.</t>
  </si>
  <si>
    <t>Mỗi đơn có đúng một khoản ký quỹ ở trạng thái Đang giữ.</t>
  </si>
  <si>
    <t>BR-F-073</t>
  </si>
  <si>
    <t>Giải ngân tự động</t>
  </si>
  <si>
    <t>Hệ thống tự giải ngân tiền ký quỹ cho người giao khi thỏa điều kiện giải ngân, đồng thời tính hoa hồng và trích Quỹ bảo đảm.</t>
  </si>
  <si>
    <t>UC-36, UC-63</t>
  </si>
  <si>
    <t>Giải ngân đúng thời điểm và đúng số tiền sau hoa hồng.</t>
  </si>
  <si>
    <t>BR-F-074</t>
  </si>
  <si>
    <t>Biên lai thu nhập từng đơn</t>
  </si>
  <si>
    <t>Hệ thống tạo biên lai thể hiện phí giao, hoa hồng, thưởng, khấu trừ (nếu có) và thu nhập ròng cho người giao sau mỗi đơn.</t>
  </si>
  <si>
    <t>UC-36, UC-61</t>
  </si>
  <si>
    <t>Biên lai khớp bút toán sổ cái.</t>
  </si>
  <si>
    <t>BR-F-075</t>
  </si>
  <si>
    <t>Hoàn tiền vào ví</t>
  </si>
  <si>
    <t>Hệ thống hoàn tiền ký quỹ vào ví của người gửi khi đơn bị hủy, quá hạn hoặc giao thất bại do người giao.</t>
  </si>
  <si>
    <t>UC-37</t>
  </si>
  <si>
    <t>Số dư ví tăng đúng số tiền hoàn; ký quỹ giải phóng.</t>
  </si>
  <si>
    <t>BR-F-076</t>
  </si>
  <si>
    <t>Hoàn tiền về nguồn VNPay</t>
  </si>
  <si>
    <t>Hệ thống cho phép hoàn tiền về nguồn thanh toán qua API hoàn tiền VNPay (toàn phần hoặc một phần) cho giao dịch thanh toán trực tiếp và theo dõi trạng thái hoàn.</t>
  </si>
  <si>
    <t>Yêu cầu hoàn gửi VNPay, lưu mã giao dịch hoàn và cập nhật trạng thái.</t>
  </si>
  <si>
    <t>BR-F-077</t>
  </si>
  <si>
    <t>Quản lý tài khoản ngân hàng nhận tiền</t>
  </si>
  <si>
    <t>Hệ thống cho phép người giao thêm, xem (che số) và xóa tài khoản ngân hàng nhận tiền, kiểm tra tên chủ tài khoản khớp KYC.</t>
  </si>
  <si>
    <t>UC-39</t>
  </si>
  <si>
    <t>Số tài khoản lưu mã hóa, hiển thị che; tên không khớp bị từ chối.</t>
  </si>
  <si>
    <t>BR-F-078</t>
  </si>
  <si>
    <t>Yêu cầu rút tiền</t>
  </si>
  <si>
    <t>Hệ thống cho phép người giao tạo yêu cầu rút tiền về tài khoản ngân hàng đã liên kết, hiển thị trước phí và số tiền thực nhận.</t>
  </si>
  <si>
    <t>UC-40</t>
  </si>
  <si>
    <t>Yêu cầu hợp lệ chuyển tiền sang trạng thái chờ rút và vào hàng đợi duyệt.</t>
  </si>
  <si>
    <t>BR-F-079</t>
  </si>
  <si>
    <t>Hàng đợi duyệt rút tiền</t>
  </si>
  <si>
    <t>Hệ thống cung cấp cho Admin hàng đợi yêu cầu rút tiền với thông tin đối chiếu, cho phép duyệt hoặc từ chối kèm lý do và thực hiện duyệt hai cấp khi vượt ngưỡng.</t>
  </si>
  <si>
    <t>Duyệt hai cấp hoạt động đúng; từ chối hoàn tiền về ví.</t>
  </si>
  <si>
    <t>BR-F-080</t>
  </si>
  <si>
    <t>Chi trả qua PayoutProvider</t>
  </si>
  <si>
    <t>Hệ thống thực hiện chi trả thông qua giao diện PayoutProvider (Mock, Thủ công, nhà cung cấp thật) và cập nhật trạng thái theo kết quả hoặc theo mã tham chiếu chuyển khoản do Admin nhập.</t>
  </si>
  <si>
    <t>Chuyển đổi nhà cung cấp bằng cấu hình mà không sửa nghiệp vụ.</t>
  </si>
  <si>
    <t>BR-F-081</t>
  </si>
  <si>
    <t>Xuất lệnh chi hàng loạt</t>
  </si>
  <si>
    <t>Hệ thống cho phép Admin xuất danh sách lệnh chi đã duyệt (kèm nội dung chuyển khoản/VietQR) để thực hiện chuyển khoản thủ công và nhập lại kết quả.</t>
  </si>
  <si>
    <t>Tệp xuất đủ trường; nhập lại kết quả cập nhật hàng loạt đúng.</t>
  </si>
  <si>
    <t>BR-F-082</t>
  </si>
  <si>
    <t>Đối soát tự động</t>
  </si>
  <si>
    <t>Hệ thống tự đối soát giao dịch VNPay và các bút toán sổ cái hằng ngày, lập báo cáo khớp/lệch.</t>
  </si>
  <si>
    <t>UC-43</t>
  </si>
  <si>
    <t>Báo cáo liệt kê giao dịch lệch với lý do phân loại.</t>
  </si>
  <si>
    <t>BR-F-083</t>
  </si>
  <si>
    <t>Xử lý chênh lệch đối soát</t>
  </si>
  <si>
    <t>Hệ thống cho phép Admin xem, ghi chú và xử lý giao dịch lệch thông qua bút toán điều chỉnh có phê duyệt và nhật ký.</t>
  </si>
  <si>
    <t>UC-43, UC-60</t>
  </si>
  <si>
    <t>Điều chỉnh tạo bút toán mới, không sửa bút toán cũ.</t>
  </si>
  <si>
    <t>BR-F-084</t>
  </si>
  <si>
    <t>Báo cáo doanh thu theo người giao</t>
  </si>
  <si>
    <t>Hệ thống lập báo cáo doanh thu theo từng người giao theo tháng phục vụ khấu trừ và kê khai thuế khi thương mại hóa.</t>
  </si>
  <si>
    <t>UC-43, UC-59</t>
  </si>
  <si>
    <t>Báo cáo xuất được Excel/CSV và khớp tổng thu nhập.</t>
  </si>
  <si>
    <t>BR-F-085</t>
  </si>
  <si>
    <t>Cấu hình biểu phí và tham số</t>
  </si>
  <si>
    <t>Hệ thống cho phép Admin xem và thay đổi các tham số giá, hoa hồng, hạn mức và thời hạn mà không cần triển khai lại ứng dụng, có lịch sử thay đổi.</t>
  </si>
  <si>
    <t>Thay đổi tham số có hiệu lực theo quy tắc; có bản ghi audit trước/sau.</t>
  </si>
  <si>
    <t>BR-F-086</t>
  </si>
  <si>
    <t>Hiển thị minh bạch cấu thành phí</t>
  </si>
  <si>
    <t>Hệ thống hiển thị rõ từng thành phần phí cho người gửi (phí giao, bảo hiểm, khuyến mãi, tổng) và cho người giao (phí giao, hoa hồng, thu nhập ròng) trước khi xác nhận.</t>
  </si>
  <si>
    <t>UC-11, UC-19, UC-35</t>
  </si>
  <si>
    <t>Tổng các thành phần khớp số tiền thanh toán/nhận.</t>
  </si>
  <si>
    <t>BR-F-087</t>
  </si>
  <si>
    <t>Áp dụng mã khuyến mãi</t>
  </si>
  <si>
    <t>Hệ thống cho phép người gửi nhập mã khuyến mãi khi ký quỹ và hiển thị số tiền giảm.</t>
  </si>
  <si>
    <t>Mã hợp lệ giảm đúng; mã không hợp lệ báo lý do.</t>
  </si>
  <si>
    <t>BR-F-088</t>
  </si>
  <si>
    <t>Quản lý chiến dịch khuyến mãi</t>
  </si>
  <si>
    <t>Hệ thống cho phép Admin tạo, sửa, tạm dừng mã khuyến mãi với giá trị, hạn dùng, số lượt và đối tượng áp dụng.</t>
  </si>
  <si>
    <t>Mã tạo ra áp dụng đúng điều kiện cấu hình.</t>
  </si>
  <si>
    <t>BR-F-089</t>
  </si>
  <si>
    <t>Công cụ mô phỏng phí</t>
  </si>
  <si>
    <t>Hệ thống cung cấp cho Admin công cụ mô phỏng giá và hoa hồng theo tham số hiện hành hoặc tham số đề xuất trước khi áp dụng.</t>
  </si>
  <si>
    <t>Kết quả mô phỏng khớp tính toán thực tế của hệ thống.</t>
  </si>
  <si>
    <t>BR-F-090</t>
  </si>
  <si>
    <t>Gửi đánh giá hai chiều</t>
  </si>
  <si>
    <t>Hệ thống cho phép người gửi và người giao đánh giá nhau sau khi đơn hoàn tất bằng số sao, thẻ nhận xét nhanh và nội dung tự do.</t>
  </si>
  <si>
    <t>Đánh giá hợp lệ được lưu và ẩn đến khi bên kia gửi hoặc hết hạn.</t>
  </si>
  <si>
    <t>BR-F-091</t>
  </si>
  <si>
    <t>Hồ sơ công khai và uy tín</t>
  </si>
  <si>
    <t>Hệ thống hiển thị hồ sơ công khai của người giao gồm ảnh, hạng, điểm uy tín, số đơn hoàn tất, tỷ lệ đúng hạn, huy hiệu và các đánh giá gần đây.</t>
  </si>
  <si>
    <t>Dữ liệu hiển thị khớp số liệu tính toán.</t>
  </si>
  <si>
    <t>BR-F-092</t>
  </si>
  <si>
    <t>Tính điểm uy tín và hạng</t>
  </si>
  <si>
    <t>Hệ thống tự tính điểm uy tín, xác định hạng, áp dụng quyền lợi theo hạng và gửi thông báo khi lên/xuống hạng.</t>
  </si>
  <si>
    <t>UC-49</t>
  </si>
  <si>
    <t>Điểm và hạng cập nhật sau sự kiện và đúng theo công thức.</t>
  </si>
  <si>
    <t>BR-F-093</t>
  </si>
  <si>
    <t>Phản hồi đánh giá</t>
  </si>
  <si>
    <t>Hệ thống cho phép người được đánh giá phản hồi một lần cho mỗi đánh giá nhận được.</t>
  </si>
  <si>
    <t>Phản hồi hiển thị dưới đánh giá tương ứng.</t>
  </si>
  <si>
    <t>BR-F-094</t>
  </si>
  <si>
    <t>Hiển thị hạng và huy hiệu khi chọn người giao</t>
  </si>
  <si>
    <t>Hệ thống hiển thị hạng, huy hiệu và điểm uy tín trên danh sách chào giá và thẻ người giao gợi ý.</t>
  </si>
  <si>
    <t>UC-19, UC-49</t>
  </si>
  <si>
    <t>Thông tin hạng hiển thị nhất quán trên các màn hình.</t>
  </si>
  <si>
    <t>BR-F-095</t>
  </si>
  <si>
    <t>Hệ thống cho phép người gửi hoặc người giao tạo khiếu nại về đơn với lý do, mô tả và bằng chứng đính kèm.</t>
  </si>
  <si>
    <t>Khiếu nại hợp lệ tạo hồ sơ và đóng băng ký quỹ.</t>
  </si>
  <si>
    <t>BR-F-096</t>
  </si>
  <si>
    <t>Trao đổi ba bên trong khiếu nại</t>
  </si>
  <si>
    <t>Hệ thống cung cấp kênh trao đổi giữa người gửi, người giao và Kiểm duyệt trong từng khiếu nại, kèm tệp bằng chứng.</t>
  </si>
  <si>
    <t>Mọi thành viên hồ sơ thấy lịch sử trao đổi theo thứ tự thời gian.</t>
  </si>
  <si>
    <t>BR-F-097</t>
  </si>
  <si>
    <t>Ra phán quyết</t>
  </si>
  <si>
    <t>Hệ thống cho phép Kiểm duyệt đưa ra phán quyết (hoàn tiền người gửi, trả tiền người giao hoặc chia theo tỷ lệ) kèm lý do và tự động thực hiện bút toán tương ứng.</t>
  </si>
  <si>
    <t>Phán quyết tạo đúng bút toán và thông báo các bên.</t>
  </si>
  <si>
    <t>BR-F-098</t>
  </si>
  <si>
    <t>Bồi thường từ Quỹ bảo đảm</t>
  </si>
  <si>
    <t>Hệ thống cho phép Admin xét duyệt và chi bồi thường từ Quỹ bảo đảm cho đơn có bảo hiểm theo phán quyết.</t>
  </si>
  <si>
    <t>Chi quỹ tạo bút toán và cập nhật số dư quỹ.</t>
  </si>
  <si>
    <t>BR-F-099</t>
  </si>
  <si>
    <t>Kháng nghị phán quyết</t>
  </si>
  <si>
    <t>Hệ thống cho phép mỗi bên kháng nghị một lần và chuyển hồ sơ cho Admin xem xét lại.</t>
  </si>
  <si>
    <t>Kháng nghị trong hạn chuyển hồ sơ sang cấp Admin.</t>
  </si>
  <si>
    <t>BR-F-100</t>
  </si>
  <si>
    <t>Thống kê khiếu nại</t>
  </si>
  <si>
    <t>Hệ thống thống kê số lượng, nguyên nhân, kết quả và thời gian xử lý khiếu nại.</t>
  </si>
  <si>
    <t>UC-51, UC-59</t>
  </si>
  <si>
    <t>Số liệu trên dashboard khớp danh sách khiếu nại.</t>
  </si>
  <si>
    <t>BR-F-101</t>
  </si>
  <si>
    <t>Thông báo trong ứng dụng</t>
  </si>
  <si>
    <t>Hệ thống đẩy thông báo thời gian thực trong ứng dụng cho các sự kiện nghiệp vụ và hiển thị số lượng chưa đọc.</t>
  </si>
  <si>
    <t>Sự kiện tạo thông báo hiển thị ≤ 2 giây; đánh dấu đã đọc cập nhật số đếm.</t>
  </si>
  <si>
    <t>BR-F-102</t>
  </si>
  <si>
    <t>Thông báo qua email</t>
  </si>
  <si>
    <t>Hệ thống gửi email thông báo cho các sự kiện quan trọng và OTP theo mẫu nội dung do Admin quản lý.</t>
  </si>
  <si>
    <t>UC-53, UC-02</t>
  </si>
  <si>
    <t>Email gửi đúng mẫu; gửi lỗi được thử lại theo cấu hình.</t>
  </si>
  <si>
    <t>BR-F-103</t>
  </si>
  <si>
    <t>Tin nhắn SMS</t>
  </si>
  <si>
    <t>Hệ thống gửi SMS OTP và thông báo giao nhận quan trọng cho người nhận; trong môi trường phát triển dùng SMS giả lập.</t>
  </si>
  <si>
    <t>UC-53, UC-28</t>
  </si>
  <si>
    <t>SMS giả lập ghi đầy đủ nội dung; chuyển đổi nhà cung cấp bằng cấu hình.</t>
  </si>
  <si>
    <t>BR-F-104</t>
  </si>
  <si>
    <t>Cài đặt thông báo</t>
  </si>
  <si>
    <t>Hệ thống cho phép người dùng bật/tắt các nhóm thông báo không bắt buộc theo từng kênh.</t>
  </si>
  <si>
    <t>Tắt nhóm nào thì không nhận nhóm đó; nhóm bắt buộc không tắt được.</t>
  </si>
  <si>
    <t>BR-F-105</t>
  </si>
  <si>
    <t>Thông báo đẩy trên trình duyệt</t>
  </si>
  <si>
    <t>Hệ thống gửi thông báo đẩy (Web Push) khi người dùng cho phép và đang không mở ứng dụng.</t>
  </si>
  <si>
    <t>Người dùng đã cấp quyền nhận thông báo khi đóng tab.</t>
  </si>
  <si>
    <t>BR-F-106</t>
  </si>
  <si>
    <t>Kiểm duyệt tự động đơn hàng</t>
  </si>
  <si>
    <t>Hệ thống kiểm tra nội dung đơn theo danh mục và từ khóa cấm/nghi ngờ khi đăng đơn và quyết định đưa đơn lên sàn hoặc chuyển Kiểm duyệt.</t>
  </si>
  <si>
    <t>Đơn vi phạm vào hàng đợi; đơn sạch lên sàn ngay.</t>
  </si>
  <si>
    <t>BR-F-107</t>
  </si>
  <si>
    <t>Hàng đợi kiểm duyệt thủ công</t>
  </si>
  <si>
    <t>Hệ thống cung cấp cho Kiểm duyệt hàng đợi đơn chờ duyệt với ảnh và nội dung, cho phép duyệt hoặc từ chối kèm lý do và thông báo người gửi.</t>
  </si>
  <si>
    <t>Từ chối cập nhật trạng thái đơn và gửi lý do.</t>
  </si>
  <si>
    <t>BR-F-108</t>
  </si>
  <si>
    <t>Hệ thống cho phép người dùng báo cáo đơn, người dùng hoặc tin nhắn vi phạm kèm lý do và bằng chứng.</t>
  </si>
  <si>
    <t>Báo cáo tạo hồ sơ cho Kiểm duyệt xử lý.</t>
  </si>
  <si>
    <t>BR-F-109</t>
  </si>
  <si>
    <t>Hệ thống cho phép Admin khóa tạm thời, khóa vĩnh viễn hoặc mở khóa tài khoản kèm lý do và thu hồi phiên.</t>
  </si>
  <si>
    <t>Khóa có hiệu lực ngay; mọi thao tác ghi audit.</t>
  </si>
  <si>
    <t>BR-F-110</t>
  </si>
  <si>
    <t>Nút khẩn cấp SOS</t>
  </si>
  <si>
    <t>Hệ thống cung cấp nút SOS cho người giao và người gửi khi đơn đang giao để gửi cảnh báo kèm vị trí cho Kiểm duyệt và người liên hệ khẩn cấp đã đăng ký.</t>
  </si>
  <si>
    <t>UC-29, UC-55</t>
  </si>
  <si>
    <t>Bấm SOS tạo cảnh báo ưu tiên cao kèm vị trí gần nhất.</t>
  </si>
  <si>
    <t>BR-F-111</t>
  </si>
  <si>
    <t>Quản lý người dùng</t>
  </si>
  <si>
    <t>Hệ thống cho phép Admin tìm kiếm, xem chi tiết, phân vai trò, xem lịch sử đơn/giao dịch và quản lý trạng thái của người dùng.</t>
  </si>
  <si>
    <t>Tìm kiếm theo email/SĐT/mã cho kết quả đúng; thao tác ghi audit.</t>
  </si>
  <si>
    <t>BR-F-112</t>
  </si>
  <si>
    <t>Quản lý nhân sự nội bộ và phân quyền</t>
  </si>
  <si>
    <t>Hệ thống cho phép Admin tạo tài khoản Kiểm duyệt/Admin và gán quyền chi tiết theo chức năng.</t>
  </si>
  <si>
    <t>Nhân sự chỉ thực hiện được chức năng được cấp.</t>
  </si>
  <si>
    <t>BR-F-113</t>
  </si>
  <si>
    <t>Hệ thống cho phép Admin quản lý loại hàng, danh mục và từ khóa hàng cấm, khu vực hoạt động, điểm hẹn bàn giao và nội dung Điều khoản.</t>
  </si>
  <si>
    <t>Thay đổi danh mục có hiệu lực cho biểu mẫu và kiểm duyệt.</t>
  </si>
  <si>
    <t>BR-F-114</t>
  </si>
  <si>
    <t>Dashboard điều hành</t>
  </si>
  <si>
    <t>Hệ thống hiển thị dashboard gồm số đơn theo trạng thái, doanh thu hoa hồng, người dùng mới, người giao hoạt động, tỷ lệ đúng hạn và tỷ lệ khiếu nại theo khoảng thời gian.</t>
  </si>
  <si>
    <t>Số liệu dashboard khớp truy vấn dữ liệu gốc.</t>
  </si>
  <si>
    <t>BR-F-115</t>
  </si>
  <si>
    <t>Xuất báo cáo</t>
  </si>
  <si>
    <t>Hệ thống cho phép xuất các báo cáo vận hành và tài chính ra Excel/CSV.</t>
  </si>
  <si>
    <t>Tệp xuất mở được và khớp bộ lọc đang chọn.</t>
  </si>
  <si>
    <t>BR-F-116</t>
  </si>
  <si>
    <t>Hệ thống cho phép Admin tìm kiếm và xem nhật ký kiểm toán theo người thực hiện, đối tượng, thời gian và loại hành động.</t>
  </si>
  <si>
    <t>Truy vấn trả đủ bản ghi, không có chức năng sửa/xóa.</t>
  </si>
  <si>
    <t>BR-F-117</t>
  </si>
  <si>
    <t>Tác vụ định kỳ và giám sát</t>
  </si>
  <si>
    <t>Hệ thống chạy tự động các tác vụ nền (hết hạn đơn và chào giá, quá hạn lấy hàng, tự giải ngân, truy vấn giao dịch treo, nhắc nhở, tính lại điểm uy tín) và cho Admin xem trạng thái chạy.</t>
  </si>
  <si>
    <t>Mỗi job có lịch, nhật ký chạy và cảnh báo khi thất bại.</t>
  </si>
  <si>
    <t>BR-F-118</t>
  </si>
  <si>
    <t>Bảng thu nhập của người giao</t>
  </si>
  <si>
    <t>Hệ thống hiển thị thu nhập của người giao theo ngày, tuần, tháng gồm số đơn, doanh thu, hoa hồng đã trừ và thu nhập ròng.</t>
  </si>
  <si>
    <t>Số liệu khớp sổ cái và biên lai.</t>
  </si>
  <si>
    <t>BR-F-119</t>
  </si>
  <si>
    <t>Thống kê hiệu suất</t>
  </si>
  <si>
    <t>Hệ thống hiển thị biểu đồ hiệu suất cá nhân: số đơn, tỷ lệ đúng hạn, điểm đánh giá, tiến độ lên hạng.</t>
  </si>
  <si>
    <t>UC-61, UC-49</t>
  </si>
  <si>
    <t>Biểu đồ cập nhật theo dữ liệu thực.</t>
  </si>
  <si>
    <t>BR-F-120</t>
  </si>
  <si>
    <t>Huy hiệu và thưởng chuyến</t>
  </si>
  <si>
    <t>Hệ thống trao huy hiệu và thưởng theo thành tích (số đơn trong tuần, chuỗi giao đúng hạn) theo cấu hình của Admin.</t>
  </si>
  <si>
    <t>Đạt điều kiện thì tự động nhận huy hiệu/thưởng.</t>
  </si>
  <si>
    <t>BR-F-121</t>
  </si>
  <si>
    <t>Giới thiệu bạn bè</t>
  </si>
  <si>
    <t>Hệ thống cung cấp mã giới thiệu và trao thưởng 10.000đ [PRM-109] cho cả hai bên sau khi người được mời hoàn tất đơn đầu tiên.</t>
  </si>
  <si>
    <t>Thưởng chỉ ghi nhận một lần cho mỗi người được mời.</t>
  </si>
  <si>
    <t>PRM-109</t>
  </si>
  <si>
    <t>BR-F-122</t>
  </si>
  <si>
    <t>Tìm kiếm địa chỉ và bản đồ</t>
  </si>
  <si>
    <t>Hệ thống cung cấp tìm kiếm địa chỉ gợi ý (geocoding), hiển thị bản đồ và tính quãng đường cho các chức năng chọn điểm và theo dõi.</t>
  </si>
  <si>
    <t>UC-11, UC-12, UC-27</t>
  </si>
  <si>
    <t>Gợi ý địa chỉ trả về trong ≤ 1 giây; có chế độ dự phòng khi dịch vụ lỗi.</t>
  </si>
  <si>
    <t>BR-F-123</t>
  </si>
  <si>
    <t>Quản lý tệp tải lên</t>
  </si>
  <si>
    <t>Hệ thống cung cấp dịch vụ tải và lưu trữ ảnh/tệp bằng chứng với kiểm tra loại tệp, giới hạn dung lượng và cấp liên kết truy cập có thời hạn cho dữ liệu nhạy cảm.</t>
  </si>
  <si>
    <t>UC-08, UC-12, UC-25, UC-28</t>
  </si>
  <si>
    <t>Tệp hợp lệ lưu thành công; liên kết nhạy cảm hết hạn đúng thời gian.</t>
  </si>
  <si>
    <t>BR-F-124</t>
  </si>
  <si>
    <t>Xuất dữ liệu và xóa tài khoản</t>
  </si>
  <si>
    <t>Hệ thống cho phép người dùng yêu cầu xuất dữ liệu cá nhân và yêu cầu xóa/ẩn danh tài khoản, Admin xử lý theo quy trình.</t>
  </si>
  <si>
    <t>UC-07, UC-57</t>
  </si>
  <si>
    <t>Yêu cầu tạo hồ sơ xử lý; sau xử lý dữ liệu cá nhân được xóa/ẩn danh.</t>
  </si>
  <si>
    <t>BR-N-001</t>
  </si>
  <si>
    <t>Non-functional BR</t>
  </si>
  <si>
    <t>Hiệu năng – API đọc</t>
  </si>
  <si>
    <t>Với 500 người dùng đồng thời, 95% yêu cầu API đọc (danh sách, chi tiết) phải phản hồi trong ≤ 500 ms (không tính thời gian mạng của client).</t>
  </si>
  <si>
    <t>UC-13, UC-16</t>
  </si>
  <si>
    <t>Kiểm thử tải JMeter/k6 500 VU: p95 ≤ 500 ms, lỗi &lt; 1%.</t>
  </si>
  <si>
    <t>Chất lượng hệ thống</t>
  </si>
  <si>
    <t>BR-N-002</t>
  </si>
  <si>
    <t>Hiệu năng – API ghi</t>
  </si>
  <si>
    <t>95% yêu cầu API ghi thông thường (tạo đơn, gửi chào giá, đánh giá) phải phản hồi trong ≤ 1 giây.</t>
  </si>
  <si>
    <t>UC-12, UC-18, UC-47</t>
  </si>
  <si>
    <t>Kiểm thử tải: p95 ≤ 1.000 ms.</t>
  </si>
  <si>
    <t>BR-N-003</t>
  </si>
  <si>
    <t>Hiệu năng – Tạo thanh toán VNPay</t>
  </si>
  <si>
    <t>Hệ thống phải tạo xong liên kết thanh toán VNPay và chuyển hướng người dùng trong ≤ 3 giây kể từ khi bấm thanh toán.</t>
  </si>
  <si>
    <t>Đo thời gian từ request đến response có URL: p95 ≤ 3 giây.</t>
  </si>
  <si>
    <t>BR-N-004</t>
  </si>
  <si>
    <t>Hiệu năng – Xử lý IPN</t>
  </si>
  <si>
    <t>Endpoint IPN của VNPay phải xử lý và phản hồi trong ≤ 2 giây với định dạng phản hồi mà VNPay yêu cầu; xử lý nặng phải tách bất đồng bộ.</t>
  </si>
  <si>
    <t>Log thời gian xử lý IPN p99 ≤ 2 giây trong test với 100 IPN/phút.</t>
  </si>
  <si>
    <t>BR-N-005</t>
  </si>
  <si>
    <t>Hiệu năng – Tải trang đầu</t>
  </si>
  <si>
    <t>Trang đầu tiên của SPA tải xong (LCP) trong ≤ 3 giây trên mạng 4G; gói JavaScript khởi tạo ≤ 300 KB (gzip) nhờ tách mã (code splitting) và tải lười.</t>
  </si>
  <si>
    <t>Lighthouse (mobile, 4G giả lập): LCP ≤ 3 s; kích thước bundle ban đầu ≤ 300 KB gzip.</t>
  </si>
  <si>
    <t>BR-N-006</t>
  </si>
  <si>
    <t>Hiệu năng – Tìm kiếm sàn đơn</t>
  </si>
  <si>
    <t>Tìm kiếm/lọc/sắp xếp trên sàn đơn với 50.000 đơn phải phản hồi p95 ≤ 800 ms; có phân trang và chỉ mục phù hợp.</t>
  </si>
  <si>
    <t>Kiểm thử với dữ liệu 50.000 đơn: p95 ≤ 800 ms.</t>
  </si>
  <si>
    <t>BR-N-007</t>
  </si>
  <si>
    <t>Hiệu năng – Độ trễ theo dõi</t>
  </si>
  <si>
    <t>Vị trí mới của người giao phải đến màn hình người theo dõi trong ≤ 3 giây kể từ khi gửi (trải nghiệm thời gian thực).</t>
  </si>
  <si>
    <t>UC-26, UC-27</t>
  </si>
  <si>
    <t>Đo thời gian gửi–nhận trong môi trường staging: p95 ≤ 3 giây.</t>
  </si>
  <si>
    <t>BR-N-008</t>
  </si>
  <si>
    <t>Hiệu năng – Gợi ý ghép đơn</t>
  </si>
  <si>
    <t>Việc tính gợi ý ghép đơn–chuyến phải trả kết quả trong ≤ 2 giây với 5.000 đơn đang mở.</t>
  </si>
  <si>
    <t>Benchmark: 5.000 đơn mở, p95 ≤ 2 giây.</t>
  </si>
  <si>
    <t>BR-N-009</t>
  </si>
  <si>
    <t>Hiệu năng – Thông báo</t>
  </si>
  <si>
    <t>Thông báo trong ứng dụng phải hiển thị trong ≤ 2 giây sau khi sự kiện nghiệp vụ xảy ra.</t>
  </si>
  <si>
    <t>Đo thời gian từ sự kiện đến hiển thị: p95 ≤ 2 giây.</t>
  </si>
  <si>
    <t>BR-N-010</t>
  </si>
  <si>
    <t>Mở rộng – Số người dùng</t>
  </si>
  <si>
    <t>Hệ thống đáp ứng tối thiểu 500 người dùng đồng thời và 5.000 đơn/ngày; backend không giữ trạng thái phiên (stateless) để mở rộng ngang.</t>
  </si>
  <si>
    <t>Chạy 2 instance backend sau load balancer, kết quả test đạt chỉ tiêu; không dùng session cục bộ.</t>
  </si>
  <si>
    <t>BR-N-011</t>
  </si>
  <si>
    <t>Mở rộng – Kết nối thời gian thực</t>
  </si>
  <si>
    <t>Kênh WebSocket hỗ trợ tối thiểu 1.000 kết nối đồng thời trên một cụm triển khai.</t>
  </si>
  <si>
    <t>UC-24, UC-27</t>
  </si>
  <si>
    <t>Kiểm thử 1.000 kết nối WebSocket, tỷ lệ rớt &lt; 1%.</t>
  </si>
  <si>
    <t>BR-N-012</t>
  </si>
  <si>
    <t>Sẵn sàng – Thời gian hoạt động</t>
  </si>
  <si>
    <t>Độ khả dụng ≥ 99,5% mỗi tháng trong giai đoạn pilot (không tính bảo trì đã thông báo trước ≥ 24 giờ).</t>
  </si>
  <si>
    <t>Giám sát uptime hằng tháng ≥ 99,5%.</t>
  </si>
  <si>
    <t>BR-N-013</t>
  </si>
  <si>
    <t>Sẵn sàng – Sao lưu và khôi phục</t>
  </si>
  <si>
    <t>Sao lưu SQL Server và MongoDB hằng ngày; RPO ≤ 24 giờ, RTO ≤ 4 giờ; kiểm thử khôi phục tối thiểu 1 lần/tháng.</t>
  </si>
  <si>
    <t>Biên bản diễn tập khôi phục thành công; có script backup tự động.</t>
  </si>
  <si>
    <t>BR-N-014</t>
  </si>
  <si>
    <t>Tin cậy – Chịu lỗi dịch vụ ngoài</t>
  </si>
  <si>
    <t>Mọi lời gọi dịch vụ ngoài (VNPay, định tuyến, email/SMS) phải có timeout, thử lại có giới hạn và ngắt mạch (circuit breaker); lỗi dịch vụ ngoài không được làm sập hệ thống.</t>
  </si>
  <si>
    <t>UC-34, UC-11, UC-53</t>
  </si>
  <si>
    <t>Giả lập dịch vụ ngoài lỗi: hệ thống trả lỗi có kiểm soát, các chức năng khác vẫn hoạt động.</t>
  </si>
  <si>
    <t>BR-N-015</t>
  </si>
  <si>
    <t>Tin cậy – Tác vụ định kỳ</t>
  </si>
  <si>
    <t>Tác vụ nền (hết hạn đơn, tự giải ngân, đối soát) chỉ chạy đúng một lần khi có nhiều instance, có khả năng chạy lại an toàn (idempotent) và ghi nhật ký kết quả.</t>
  </si>
  <si>
    <t>UC-63, UC-43</t>
  </si>
  <si>
    <t>Chạy 2 instance: mỗi job thực thi 1 lần/chu kỳ; chạy lại không tạo dữ liệu trùng.</t>
  </si>
  <si>
    <t>BR-N-016</t>
  </si>
  <si>
    <t>Bảo mật – Băm mật khẩu</t>
  </si>
  <si>
    <t>Mật khẩu chỉ được lưu dưới dạng băm BCrypt (cost ≥ 10); không lưu và không ghi log mật khẩu bản rõ.</t>
  </si>
  <si>
    <t>UC-01, UC-06</t>
  </si>
  <si>
    <t>Rà soát CSDL và log: không có mật khẩu rõ; cost factor ≥ 10.</t>
  </si>
  <si>
    <t>BR-N-017</t>
  </si>
  <si>
    <t>Bảo mật – Mã hóa đường truyền</t>
  </si>
  <si>
    <t>Toàn bộ truy cập qua HTTPS (TLS ≥ 1.2) và bật HSTS; WebSocket dùng WSS.</t>
  </si>
  <si>
    <t>Quét SSL Labs/testssl: không cho phép giao thức &lt; TLS 1.2.</t>
  </si>
  <si>
    <t>BR-N-018</t>
  </si>
  <si>
    <t>Bảo mật – Mã hóa dữ liệu nhạy cảm</t>
  </si>
  <si>
    <t>Ảnh CCCD, ảnh chân dung và số tài khoản ngân hàng được mã hóa khi lưu (AES-256-GCM); khóa mã hóa quản lý ngoài mã nguồn và có quy trình xoay khóa.</t>
  </si>
  <si>
    <t>UC-08, UC-39</t>
  </si>
  <si>
    <t>Kiểm tra dữ liệu thô trong kho lưu trữ không đọc được; khóa lấy từ biến môi trường/secret store.</t>
  </si>
  <si>
    <t>BR-N-019</t>
  </si>
  <si>
    <t>Bảo mật – OWASP Top 10</t>
  </si>
  <si>
    <t>Hệ thống phải được kiểm thử và phòng chống các rủi ro OWASP Top 10 (injection, XSS, CSRF, broken access control, SSRF…); nghiệm thu không còn lỗ hổng mức Cao/Nghiêm trọng.</t>
  </si>
  <si>
    <t>Báo cáo kiểm thử bảo mật (ZAP/checklist OWASP ASVS cơ bản): 0 lỗ hổng Cao/Nghiêm trọng.</t>
  </si>
  <si>
    <t>BR-N-020</t>
  </si>
  <si>
    <t>Bảo mật – Kiểm soát truy cập đối tượng</t>
  </si>
  <si>
    <t>Người dùng chỉ truy cập được đơn, ví, chat và hồ sơ thuộc quyền của mình; mọi endpoint phải kiểm tra quyền sở hữu phía máy chủ (chống BOLA/IDOR).</t>
  </si>
  <si>
    <t>UC-13, UC-38</t>
  </si>
  <si>
    <t>Kiểm thử thay đổi ID trong URL: trả 403/404 cho dữ liệu không thuộc quyền.</t>
  </si>
  <si>
    <t>BR-N-021</t>
  </si>
  <si>
    <t>Bảo mật – Giao dịch tiền idempotent</t>
  </si>
  <si>
    <t>Mọi thao tác ghi sổ cái (nạp, ký quỹ, giải ngân, hoàn tiền, rút) phải idempotent theo khóa idempotency (24 giờ [PRM-073]) và an toàn khi đồng thời (khóa lạc quan/bi quan); gửi lặp cùng yêu cầu không tạo bút toán thứ hai.</t>
  </si>
  <si>
    <t>UC-35, UC-36, UC-37, UC-40, UC-42</t>
  </si>
  <si>
    <t>Test đồng thời 50 request trùng: chỉ 1 bút toán được tạo.</t>
  </si>
  <si>
    <t>PRM-073</t>
  </si>
  <si>
    <t>BR-N-022</t>
  </si>
  <si>
    <t>Bảo mật – Chữ ký VNPay</t>
  </si>
  <si>
    <t>Mọi phản hồi/IPN từ VNPay phải được xác minh chữ ký (HMAC-SHA512) và đối chiếu số tiền, mã tham chiếu trước khi cập nhật trạng thái; từ chối nếu sai.</t>
  </si>
  <si>
    <t>Test gửi IPN sai chữ ký/sai số tiền: bị từ chối, không đổi trạng thái.</t>
  </si>
  <si>
    <t>BR-N-023</t>
  </si>
  <si>
    <t>Bảo mật – Tải tệp lên</t>
  </si>
  <si>
    <t>Tệp tải lên chỉ chấp nhận JPG/PNG/WEBP trong giới hạn 5 MB [PRM-019]; kiểm tra loại tệp theo nội dung, đổi tên ngẫu nhiên, lưu ngoài thư mục thực thi.</t>
  </si>
  <si>
    <t>UC-08, UC-12, UC-25</t>
  </si>
  <si>
    <t>Test tải tệp .exe/.html đổi đuôi: bị từ chối.</t>
  </si>
  <si>
    <t>PRM-019</t>
  </si>
  <si>
    <t>BR-N-024</t>
  </si>
  <si>
    <t>Bảo mật – Giới hạn tần suất</t>
  </si>
  <si>
    <t>Áp dụng giới hạn 100 request/phút/người dùng [PRM-010] cho API thường và 10 request/phút/IP [PRM-011] cho API xác thực; vượt ngưỡng trả HTTP 429 kèm Retry-After.</t>
  </si>
  <si>
    <t>UC-03, UC-05</t>
  </si>
  <si>
    <t>Test vượt ngưỡng nhận 429.</t>
  </si>
  <si>
    <t>PRM-010, PRM-011</t>
  </si>
  <si>
    <t>BR-N-025</t>
  </si>
  <si>
    <t>Bảo mật – Quản lý bí mật và log</t>
  </si>
  <si>
    <t>Khóa API, mật khẩu CSDL, hash secret VNPay không nằm trong mã nguồn; log che (mask) dữ liệu nhạy cảm như số điện thoại, số tài khoản, token.</t>
  </si>
  <si>
    <t>Quét mã nguồn bằng công cụ phát hiện secret: 0 kết quả; kiểm tra mẫu log.</t>
  </si>
  <si>
    <t>BR-N-026</t>
  </si>
  <si>
    <t>Bảo mật – Nhật ký kiểm toán</t>
  </si>
  <si>
    <t>Mọi hành động nhạy cảm (tiền, KYC, phân quyền, khóa tài khoản, đổi tham số) phải được ghi nhật ký kiểm toán không thể sửa/xóa qua giao diện, kèm người thực hiện, thời điểm, IP, giá trị trước/sau.</t>
  </si>
  <si>
    <t>Thực hiện 10 hành động nhạy cảm: đủ 10 bản ghi audit với trường bắt buộc.</t>
  </si>
  <si>
    <t>BR-N-027</t>
  </si>
  <si>
    <t>Trải nghiệm – Responsive và thao tác nhanh</t>
  </si>
  <si>
    <t>Giao diện hiển thị đúng từ 360 px; các thao tác chính (đăng đơn, nhận đơn, xác nhận giao) hoàn thành trong ≤ 5 lần chạm sau khi đã đăng nhập.</t>
  </si>
  <si>
    <t>UC-12, UC-17, UC-28</t>
  </si>
  <si>
    <t>Kiểm thử thủ công theo kịch bản trên 3 kích thước màn hình.</t>
  </si>
  <si>
    <t>BR-N-028</t>
  </si>
  <si>
    <t>Trải nghiệm – Thông báo lỗi</t>
  </si>
  <si>
    <t>Thông báo lỗi bằng tiếng Việt, nêu nguyên nhân và hướng khắc phục; không hiển thị thông tin kỹ thuật (stack trace) cho người dùng.</t>
  </si>
  <si>
    <t>Rà soát danh mục mã lỗi: 100% có thông điệp thân thiện.</t>
  </si>
  <si>
    <t>BR-N-029</t>
  </si>
  <si>
    <t>Trải nghiệm – Khả năng truy cập</t>
  </si>
  <si>
    <t>Đáp ứng mức cơ bản WCAG 2.1 AA: độ tương phản chữ ≥ 4,5:1, nhãn cho mọi trường nhập, điều hướng được bằng bàn phím.</t>
  </si>
  <si>
    <t>Kiểm tra bằng Lighthouse Accessibility ≥ 90.</t>
  </si>
  <si>
    <t>BR-N-030</t>
  </si>
  <si>
    <t>Trải nghiệm – Người dùng mới</t>
  </si>
  <si>
    <t>Người dùng mới hoàn thành đăng ký, xác thực và đăng đơn đầu tiên trong ≤ 5 phút.</t>
  </si>
  <si>
    <t>UC-01, UC-12</t>
  </si>
  <si>
    <t>Kiểm thử khả dụng với ≥ 5 người dùng: ≥ 4 người đạt.</t>
  </si>
  <si>
    <t>BR-N-031</t>
  </si>
  <si>
    <t>Trải nghiệm – Trạng thái giao diện</t>
  </si>
  <si>
    <t>Mọi danh sách và trang dữ liệu phải có trạng thái đang tải, rỗng và lỗi rõ ràng; thao tác lỗi do mạng cho phép thử lại.</t>
  </si>
  <si>
    <t>Checklist UI: mỗi màn hình danh sách có đủ 3 trạng thái.</t>
  </si>
  <si>
    <t>BR-N-032</t>
  </si>
  <si>
    <t>Chất lượng – Kiểm thử tự động</t>
  </si>
  <si>
    <t>Độ bao phủ kiểm thử đơn vị của tầng service ≥ 70% cho các module Ví/Thanh toán và Đơn hàng; kiểm thử tích hợp cho mọi API tiền.</t>
  </si>
  <si>
    <t>Nhóm phát triển</t>
  </si>
  <si>
    <t>Báo cáo JaCoCo: ≥ 70% cho module chỉ định; CI fail khi dưới ngưỡng.</t>
  </si>
  <si>
    <t>BR-N-033</t>
  </si>
  <si>
    <t>Chất lượng – Kiến trúc module</t>
  </si>
  <si>
    <t>Backend tổ chức theo module độc lập (modular monolith), không phụ thuộc vòng giữa các module; giao tiếp qua giao diện dịch vụ hoặc sự kiện nội bộ.</t>
  </si>
  <si>
    <t>Kiểm tra bằng ArchUnit trong CI: 0 vi phạm.</t>
  </si>
  <si>
    <t>BR-N-034</t>
  </si>
  <si>
    <t>Chất lượng – Quy ước và review</t>
  </si>
  <si>
    <t>Mọi thay đổi mã vào nhánh chính phải qua pull request, ≥ 1 người review và vượt kiểm tra lint (Checkstyle/ESLint) cùng build xanh.</t>
  </si>
  <si>
    <t>Cấu hình bảo vệ nhánh bật; không có commit trực tiếp vào main.</t>
  </si>
  <si>
    <t>BR-N-035</t>
  </si>
  <si>
    <t>Chất lượng – Khả năng quan sát</t>
  </si>
  <si>
    <t>Mỗi yêu cầu có correlation ID xuyên suốt log; bật Actuator health/metrics; có thể truy vết một lỗi từ ID trả về cho người dùng.</t>
  </si>
  <si>
    <t>Từ mã lỗi hiển thị tìm được log đầy đủ của request.</t>
  </si>
  <si>
    <t>BR-N-036</t>
  </si>
  <si>
    <t>Chất lượng – Tài liệu API đồng bộ</t>
  </si>
  <si>
    <t>Tài liệu OpenAPI được sinh tự động từ mã nguồn và luôn khớp phiên bản hiện hành.</t>
  </si>
  <si>
    <t>Swagger UI khớp 100% với endpoint; CI kiểm tra spec hợp lệ.</t>
  </si>
  <si>
    <t>BR-N-037</t>
  </si>
  <si>
    <t>Chất lượng – Quản lý thay đổi CSDL</t>
  </si>
  <si>
    <t>Thay đổi cấu trúc CSDL SQL Server quản lý bằng công cụ migration (Flyway/Liquibase), chạy tự động khi triển khai và có thể lặp lại trên mọi môi trường.</t>
  </si>
  <si>
    <t>Dựng CSDL rỗng từ migration thành công trong CI.</t>
  </si>
  <si>
    <t>BR-N-038</t>
  </si>
  <si>
    <t>Dữ liệu – Chính sách lưu trữ</t>
  </si>
  <si>
    <t>Dữ liệu được lưu và xóa theo thời hạn cấu hình: vị trí 12 tháng [PRM-092], chat 12 tháng [PRM-093], nhật ký kiểm toán 5 năm [PRM-107], sổ cái 10 năm [PRM-108].</t>
  </si>
  <si>
    <t>Cấu hình TTL index và job dọn dẹp hoạt động đúng theo tham số.</t>
  </si>
  <si>
    <t>PRM-092, PRM-093, PRM-107, PRM-108</t>
  </si>
  <si>
    <t>BR-N-039</t>
  </si>
  <si>
    <t>Dữ liệu – Toàn vẹn sổ cái</t>
  </si>
  <si>
    <t>Sổ cái dùng bút toán kép; tổng ghi nợ luôn bằng tổng ghi có; không cho phép sửa/xóa bút toán, chỉ ghi bút toán điều chỉnh.</t>
  </si>
  <si>
    <t>UC-35, UC-36, UC-43</t>
  </si>
  <si>
    <t>Truy vấn kiểm tra tổng nợ = tổng có = 0 chênh lệch; không có lệnh UPDATE/DELETE trên bảng sổ cái.</t>
  </si>
  <si>
    <t>BR-N-040</t>
  </si>
  <si>
    <t>Dữ liệu – Quyền xóa dữ liệu cá nhân</t>
  </si>
  <si>
    <t>Hỗ trợ yêu cầu xóa hoặc ẩn danh tài khoản trong ≤ 30 ngày, giữ lại dữ liệu bắt buộc theo quy định pháp luật (giao dịch, thuế) ở dạng ẩn danh.</t>
  </si>
  <si>
    <t>Quy trình xóa chạy thử: dữ liệu cá nhân bị xóa/ẩn, sổ cái còn nguyên.</t>
  </si>
  <si>
    <t>BR-N-041</t>
  </si>
  <si>
    <t>Dữ liệu – Thời gian chuẩn</t>
  </si>
  <si>
    <t>Thời gian nghiệp vụ lưu theo UTC, hiển thị theo UTC+7; máy chủ đồng bộ NTP; mọi so sánh hạn chót dùng giờ máy chủ.</t>
  </si>
  <si>
    <t>Test chuyển múi giờ trình duyệt không làm sai hạn chót của đơn.</t>
  </si>
  <si>
    <t>BR-R-001</t>
  </si>
  <si>
    <t>Business Rule</t>
  </si>
  <si>
    <t>Duy nhất email và số điện thoại</t>
  </si>
  <si>
    <t>Mỗi email và mỗi số điện thoại chỉ được gắn với một tài khoản duy nhất.</t>
  </si>
  <si>
    <t>Đăng ký lần hai với email/SĐT đã tồn tại bị từ chối với thông báo phù hợp.</t>
  </si>
  <si>
    <t>Chính sách nghiệp vụ</t>
  </si>
  <si>
    <t>BR-R-002</t>
  </si>
  <si>
    <t>Quy tắc mật khẩu</t>
  </si>
  <si>
    <t>Mật khẩu tối thiểu 8 ký tự [PRM-008], gồm ít nhất 1 chữ hoa, 1 chữ thường, 1 chữ số và không được trùng với email hoặc số điện thoại của chính tài khoản.</t>
  </si>
  <si>
    <t>UC-01, UC-05, UC-06</t>
  </si>
  <si>
    <t>Test các mật khẩu vi phạm từng điều kiện đều bị từ chối.</t>
  </si>
  <si>
    <t>PRM-008</t>
  </si>
  <si>
    <t>BR-R-003</t>
  </si>
  <si>
    <t>Quy tắc OTP</t>
  </si>
  <si>
    <t>OTP có hiệu lực 5 phút [PRM-001]; nhập sai tối đa 5 lần [PRM-002] thì OTP bị vô hiệu; yêu cầu gửi lại cách nhau tối thiểu 60 giây [PRM-003].</t>
  </si>
  <si>
    <t>UC-02, UC-05</t>
  </si>
  <si>
    <t>Test hết hạn, nhập sai quá số lần và gửi lại sớm đều bị chặn.</t>
  </si>
  <si>
    <t>PRM-001, PRM-002, PRM-003</t>
  </si>
  <si>
    <t>BR-R-004</t>
  </si>
  <si>
    <t>Khóa đăng nhập tạm thời</t>
  </si>
  <si>
    <t>Đăng nhập sai 5 lần [PRM-004] liên tiếp thì khóa đăng nhập trong 15 phút [PRM-005]; đăng nhập đúng trước đó sẽ đặt lại bộ đếm.</t>
  </si>
  <si>
    <t>Nhập sai 5 lần: lần thứ 6 bị từ chối kèm thời gian mở khóa.</t>
  </si>
  <si>
    <t>PRM-004, PRM-005</t>
  </si>
  <si>
    <t>BR-R-005</t>
  </si>
  <si>
    <t>Vòng đời token</t>
  </si>
  <si>
    <t>Access Token hiệu lực 15 phút [PRM-006], Refresh Token hiệu lực 7 ngày [PRM-007] và xoay vòng sau mỗi lần dùng; nếu một Refresh Token đã dùng bị dùng lại thì thu hồi toàn bộ phiên của tài khoản.</t>
  </si>
  <si>
    <t>UC-03, UC-04</t>
  </si>
  <si>
    <t>Dùng lại refresh token cũ: mọi phiên bị thu hồi, người dùng phải đăng nhập lại.</t>
  </si>
  <si>
    <t>PRM-006, PRM-007</t>
  </si>
  <si>
    <t>BR-R-006</t>
  </si>
  <si>
    <t>Giới hạn thiết bị</t>
  </si>
  <si>
    <t>Mỗi tài khoản tối đa 5 thiết bị [PRM-009] đăng nhập đồng thời; khi vượt thì thiết bị đăng nhập cũ nhất bị đăng xuất.</t>
  </si>
  <si>
    <t>Đăng nhập thiết bị thứ 6: thiết bị đầu tiên mất phiên.</t>
  </si>
  <si>
    <t>PRM-009</t>
  </si>
  <si>
    <t>BR-R-007</t>
  </si>
  <si>
    <t>Tài khoản chưa xác thực bị hạn chế</t>
  </si>
  <si>
    <t>Tài khoản chưa xác thực OTP chỉ được xem công khai; không được tạo đơn, nhận đơn, nạp tiền hoặc rút tiền.</t>
  </si>
  <si>
    <t>UC-02, UC-12, UC-34</t>
  </si>
  <si>
    <t>Gọi API tạo đơn bằng tài khoản chưa xác thực trả 403 với mã lỗi riêng.</t>
  </si>
  <si>
    <t>BR-R-008</t>
  </si>
  <si>
    <t>Vai trò kép và không tự giao dịch</t>
  </si>
  <si>
    <t>Một tài khoản có thể giữ đồng thời vai trò Người gửi và Người giao, nhưng không được tự nhận, tự chào giá, tự đánh giá hoặc tự khiếu nại đơn do chính mình tạo.</t>
  </si>
  <si>
    <t>UC-17, UC-18, UC-47</t>
  </si>
  <si>
    <t>Người dùng nhận đơn của chính mình bị từ chối.</t>
  </si>
  <si>
    <t>BR-R-009</t>
  </si>
  <si>
    <t>Điều kiện người giao</t>
  </si>
  <si>
    <t>Chỉ tài khoản có hồ sơ xác minh KYC ở trạng thái đã duyệt và đã đăng ký vai trò Người giao mới được nhận đơn hoặc chào giá.</t>
  </si>
  <si>
    <t>UC-10, UC-17, UC-18</t>
  </si>
  <si>
    <t>Người dùng chưa duyệt KYC gọi API nhận đơn bị từ chối.</t>
  </si>
  <si>
    <t>BR-R-010</t>
  </si>
  <si>
    <t>Thành phần hồ sơ KYC</t>
  </si>
  <si>
    <t>Hồ sơ KYC gồm ảnh CCCD mặt trước, mặt sau và ảnh chân dung cầm CCCD; họ tên và ngày sinh phải khớp với hồ sơ cá nhân; người dùng phải đủ 18 tuổi.</t>
  </si>
  <si>
    <t>Hồ sơ thiếu ảnh hoặc dưới 18 tuổi bị từ chối ngay khi gửi.</t>
  </si>
  <si>
    <t>BR-R-011</t>
  </si>
  <si>
    <t>Duy nhất CCCD</t>
  </si>
  <si>
    <t>Mỗi số CCCD chỉ được gắn với một tài khoản; hồ sơ trùng CCCD với tài khoản khác bị từ chối và đánh dấu để Kiểm duyệt rà soát gian lận.</t>
  </si>
  <si>
    <t>UC-08, UC-09</t>
  </si>
  <si>
    <t>Nộp CCCD đã dùng: bị từ chối, tạo cảnh báo.</t>
  </si>
  <si>
    <t>BR-R-012</t>
  </si>
  <si>
    <t>Từ chối phải có lý do</t>
  </si>
  <si>
    <t>Hồ sơ KYC bị từ chối phải kèm lý do chọn từ danh mục; người dùng được nộp lại tối đa 3 lần trong 7 ngày.</t>
  </si>
  <si>
    <t>Từ chối không lý do bị hệ thống chặn; lần nộp thứ 4 bị từ chối.</t>
  </si>
  <si>
    <t>BR-R-013</t>
  </si>
  <si>
    <t>Điều kiện rút tiền</t>
  </si>
  <si>
    <t>Chỉ người dùng có KYC đã duyệt mới được liên kết tài khoản ngân hàng và rút tiền.</t>
  </si>
  <si>
    <t>Người dùng chưa KYC không thấy chức năng rút tiền.</t>
  </si>
  <si>
    <t>BR-R-014</t>
  </si>
  <si>
    <t>Huy hiệu cộng đồng FPT</t>
  </si>
  <si>
    <t>Huy hiệu 'Cộng đồng FPT' chỉ cấp khi người dùng xác thực thành công OTP gửi tới email thuộc tên miền của FPT được cấu hình; huy hiệu mất khi email bị thu hồi.</t>
  </si>
  <si>
    <t>Email ngoài miền cấu hình không nhận được huy hiệu.</t>
  </si>
  <si>
    <t>BR-R-015</t>
  </si>
  <si>
    <t>Điều kiện tạo đơn</t>
  </si>
  <si>
    <t>Người gửi chỉ tạo được đơn mới khi đã xác thực OTP, không bị khóa và số đơn đang mở không vượt 10 đơn [PRM-024].</t>
  </si>
  <si>
    <t>Tạo đơn thứ 11 khi đang có 10 đơn mở bị chặn.</t>
  </si>
  <si>
    <t>PRM-024</t>
  </si>
  <si>
    <t>BR-R-016</t>
  </si>
  <si>
    <t>Giới hạn hàng hóa</t>
  </si>
  <si>
    <t>Mỗi đơn có khối lượng ≤ 20 kg [PRM-012], cạnh dài nhất ≤ 80 cm [PRM-013] và giá trị khai báo ≤ 3.000.000đ [PRM-016].</t>
  </si>
  <si>
    <t>Mỗi giới hạn vượt đều có test từ chối kèm thông báo.</t>
  </si>
  <si>
    <t>PRM-012, PRM-013, PRM-016</t>
  </si>
  <si>
    <t>BR-R-017</t>
  </si>
  <si>
    <t>Phân cỡ hàng</t>
  </si>
  <si>
    <t>Cỡ hàng xác định theo cạnh dài nhất: Nhỏ ≤ 30 cm [PRM-014]; Vừa ≤ 50 cm [PRM-015]; còn lại là Lớn.</t>
  </si>
  <si>
    <t>Bảng test biên 30/31/50/51/80/81 cm cho kết quả cỡ đúng.</t>
  </si>
  <si>
    <t>PRM-014, PRM-015</t>
  </si>
  <si>
    <t>BR-R-018</t>
  </si>
  <si>
    <t>Ảnh hàng hóa bắt buộc</t>
  </si>
  <si>
    <t>Mỗi đơn phải có ít nhất 1 và tối đa 5 ảnh [PRM-018] ảnh hàng, mỗi ảnh ≤ 5 MB [PRM-019].</t>
  </si>
  <si>
    <t>Đơn không ảnh hoặc ảnh quá cỡ bị từ chối.</t>
  </si>
  <si>
    <t>PRM-018, PRM-019</t>
  </si>
  <si>
    <t>BR-R-019</t>
  </si>
  <si>
    <t>Tính hợp lệ về thời gian</t>
  </si>
  <si>
    <t>Giờ hẹn lấy hàng phải ở tương lai; hạn giao phải sau giờ hẹn lấy ít nhất bằng thời gian di chuyển ước tính.</t>
  </si>
  <si>
    <t>Đặt hạn giao quá gấp so với quãng đường bị cảnh báo/chặn.</t>
  </si>
  <si>
    <t>BR-R-020</t>
  </si>
  <si>
    <t>Thời hạn mở đơn</t>
  </si>
  <si>
    <t>Đơn mở nhận mặc định 24 giờ [PRM-020], tối đa 7 ngày [PRM-021]; hết thời hạn mà chưa có người giao thì tự chuyển sang Hết hạn.</t>
  </si>
  <si>
    <t>UC-12, UC-63</t>
  </si>
  <si>
    <t>Đơn quá hạn được job định kỳ chuyển EXPIRED và thông báo người gửi.</t>
  </si>
  <si>
    <t>PRM-020, PRM-021</t>
  </si>
  <si>
    <t>BR-R-021</t>
  </si>
  <si>
    <t>Điều kiện sửa đơn</t>
  </si>
  <si>
    <t>Chỉ sửa đơn khi đơn đang Chờ kiểm duyệt hoặc Đang mở và chưa có chào giá được chấp nhận; sửa điểm lấy, điểm giao hoặc giá trị khai báo làm vô hiệu mọi chào giá hiện có.</t>
  </si>
  <si>
    <t>Sửa đơn đã có người giao bị từ chối; sửa điểm giao làm chào giá hết hiệu lực.</t>
  </si>
  <si>
    <t>BR-R-022</t>
  </si>
  <si>
    <t>Quy tắc hủy đơn và phí hủy</t>
  </si>
  <si>
    <t>Hủy trước khi có người giao: miễn phí. Hủy sau khi ký quỹ và trước khi lấy hàng: người gửi chịu phí 10% [PRM-050] phí giao (tối thiểu 5.000đ [PRM-051]) trả cho người giao, trừ khi do lỗi người giao. Sau khi đã lấy hàng: không được hủy mà phải xử lý bằng báo sự cố/giao thất bại.</t>
  </si>
  <si>
    <t>UC-15, UC-37</t>
  </si>
  <si>
    <t>Ba kịch bản hủy cho ba kết quả tiền đúng theo quy tắc.</t>
  </si>
  <si>
    <t>PRM-050, PRM-051</t>
  </si>
  <si>
    <t>BR-R-023</t>
  </si>
  <si>
    <t>Thông tin người nhận</t>
  </si>
  <si>
    <t>Mỗi đơn bắt buộc có tên và số điện thoại người nhận hợp lệ; số điện thoại người nhận và địa chỉ chi tiết chỉ hiển thị cho người giao sau khi đơn ở trạng thái Đã ký quỹ.</t>
  </si>
  <si>
    <t>Người giao chưa được chọn không thấy SĐT người nhận trong API.</t>
  </si>
  <si>
    <t>BR-R-024</t>
  </si>
  <si>
    <t>Hàng giá trị cao</t>
  </si>
  <si>
    <t>Đơn có giá trị khai báo vượt 1.000.000đ [PRM-017] chỉ người giao hạng Bạc trở lên và đã KYC mới được nhận hoặc chào giá.</t>
  </si>
  <si>
    <t>UC-16, UC-17</t>
  </si>
  <si>
    <t>Người giao hạng Đồng nhận đơn 1,5 triệu bị từ chối.</t>
  </si>
  <si>
    <t>PRM-017</t>
  </si>
  <si>
    <t>BR-R-025</t>
  </si>
  <si>
    <t>Một người giao một đơn</t>
  </si>
  <si>
    <t>Tại mỗi thời điểm một đơn (hoặc một chặng của đơn tiếp sức) chỉ gắn với một người giao; khi nhiều người cùng nhận chỉ yêu cầu đến trước thành công.</t>
  </si>
  <si>
    <t>UC-17, UC-19</t>
  </si>
  <si>
    <t>Test 20 yêu cầu nhận đồng thời: 1 thành công, 19 thất bại có thông báo.</t>
  </si>
  <si>
    <t>BR-R-026</t>
  </si>
  <si>
    <t>Mã vận đơn</t>
  </si>
  <si>
    <t>Mỗi đơn có mã vận đơn duy nhất theo định dạng FPT-yyMMdd-xxxxxx, không đổi trong suốt vòng đời đơn.</t>
  </si>
  <si>
    <t>Mã không trùng trên 100.000 đơn thử nghiệm.</t>
  </si>
  <si>
    <t>BR-R-027</t>
  </si>
  <si>
    <t>Hiển thị trên sàn</t>
  </si>
  <si>
    <t>Chỉ đơn ở trạng thái Đang mở được hiển thị trên sàn; thông tin chi tiết nhạy cảm (SĐT, địa chỉ cụ thể) bị ẩn, chỉ hiển thị khu vực và khoảng cách cho đến khi người giao được chọn.</t>
  </si>
  <si>
    <t>API sàn đơn không trả SĐT và số nhà.</t>
  </si>
  <si>
    <t>BR-R-028</t>
  </si>
  <si>
    <t>Hạn mức nhận đơn theo hạng</t>
  </si>
  <si>
    <t>Người giao chỉ được giữ đồng thời số đơn tối đa và tổng giá trị khai báo tối đa theo hạng (Tân binh 3 / Đồng 5 / Bạc 8 / Vàng 12 / Kim cương 15 [PRM-083]; Tân binh 3 / Đồng 6 / Bạc 10 / Vàng 15 / Kim cương 20 (triệu đồng) [PRM-084]).</t>
  </si>
  <si>
    <t>UC-17, UC-18, UC-49</t>
  </si>
  <si>
    <t>Người giao hạng Tân binh nhận đơn thứ 4 bị từ chối.</t>
  </si>
  <si>
    <t>PRM-083, PRM-084</t>
  </si>
  <si>
    <t>BR-R-029</t>
  </si>
  <si>
    <t>Biên giá chào</t>
  </si>
  <si>
    <t>Giá chào và giá phản giá phải nằm trong khoảng từ 70% [PRM-039] đến 150% [PRM-040] của giá gợi ý; mỗi chào giá có hiệu lực 120 phút [PRM-041].</t>
  </si>
  <si>
    <t>Chào giá ngoài biên bị từ chối; chào giá hết hạn tự chuyển Hết hạn.</t>
  </si>
  <si>
    <t>PRM-039, PRM-040, PRM-041</t>
  </si>
  <si>
    <t>BR-R-030</t>
  </si>
  <si>
    <t>Một chào giá hiệu lực mỗi người giao</t>
  </si>
  <si>
    <t>Mỗi người giao chỉ có một chào giá hiệu lực cho một đơn; chào giá mới thay thế chào giá cũ.</t>
  </si>
  <si>
    <t>Gửi chào giá lần 2: bản ghi cũ chuyển Đã rút.</t>
  </si>
  <si>
    <t>BR-R-031</t>
  </si>
  <si>
    <t>Chốt chào giá</t>
  </si>
  <si>
    <t>Khi người gửi chấp nhận một chào giá thì các chào giá còn lại của đơn bị từ chối tự động và đơn chuyển sang Chờ ký quỹ; người gửi có 15 phút [PRM-023] để ký quỹ, quá hạn đơn quay về Đang mở và thông báo cho người giao.</t>
  </si>
  <si>
    <t>UC-19, UC-35, UC-63</t>
  </si>
  <si>
    <t>Không ký quỹ trong 15 phút: đơn về OPEN, chào giá được ghi nhận Hết hạn.</t>
  </si>
  <si>
    <t>PRM-023</t>
  </si>
  <si>
    <t>BR-R-032</t>
  </si>
  <si>
    <t>Giới hạn vòng phản giá</t>
  </si>
  <si>
    <t>Người gửi và người giao thương lượng tối đa 3 vòng [PRM-054] cho một chào giá; hết số vòng thì chỉ còn chấp nhận hoặc từ chối.</t>
  </si>
  <si>
    <t>Vòng phản giá thứ 4 bị chặn.</t>
  </si>
  <si>
    <t>PRM-054</t>
  </si>
  <si>
    <t>BR-R-033</t>
  </si>
  <si>
    <t>Phạm vi và thời hạn chat</t>
  </si>
  <si>
    <t>Cuộc trò chuyện chỉ mở giữa hai bên có chào giá hoặc nhận đơn trên cùng một đơn; chuyển sang chỉ-đọc khi hết 48 giờ [PRM-071] kể từ khi đơn kết thúc.</t>
  </si>
  <si>
    <t>Người ngoài đơn không truy cập được phòng chat; sau thời hạn không gửi được tin mới.</t>
  </si>
  <si>
    <t>PRM-071</t>
  </si>
  <si>
    <t>BR-R-034</t>
  </si>
  <si>
    <t>Chống giao dịch ngoài nền tảng</t>
  </si>
  <si>
    <t>Hệ thống phát hiện mẫu số điện thoại, số tài khoản ngân hàng, đường dẫn trong tin nhắn trước khi người giao được chọn, che nội dung và cảnh báo; vi phạm lặp lại bị xem là vi phạm quy tắc cộng đồng.</t>
  </si>
  <si>
    <t>Gửi chuỗi số điện thoại trước khi chọn người giao: bị che và cảnh báo.</t>
  </si>
  <si>
    <t>BR-R-035</t>
  </si>
  <si>
    <t>Thông tin bắt buộc của chuyến đi</t>
  </si>
  <si>
    <t>Chuyến đi phải có điểm đi, điểm đến, giờ khởi hành ở tương lai, phương tiện và sức chứa tối đa.</t>
  </si>
  <si>
    <t>Thiếu bất kỳ trường nào bị từ chối.</t>
  </si>
  <si>
    <t>BR-R-036</t>
  </si>
  <si>
    <t>Điều kiện ghép đơn–chuyến</t>
  </si>
  <si>
    <t>Chỉ gợi ý đơn có điểm lấy và điểm giao nằm trong độ lệch ≤ 3 km [PRM-099] so với tuyến của chuyến và thời gian phù hợp khung giờ chuyến; trả tối đa 10 gợi ý [PRM-100].</t>
  </si>
  <si>
    <t>Đơn lệch tuyến 5 km không xuất hiện trong gợi ý.</t>
  </si>
  <si>
    <t>PRM-099, PRM-100</t>
  </si>
  <si>
    <t>BR-R-037</t>
  </si>
  <si>
    <t>Hủy chuyến có đơn</t>
  </si>
  <si>
    <t>Chuyến đã có đơn được chọn không thể hủy trực tiếp; người giao phải hủy từng đơn theo quy tắc hủy của người giao hoặc chuyển đơn về sàn.</t>
  </si>
  <si>
    <t>Hủy chuyến có đơn bị chặn và hướng dẫn cách xử lý.</t>
  </si>
  <si>
    <t>BR-R-038</t>
  </si>
  <si>
    <t>Điều kiện chuyển sang Đã lấy hàng</t>
  </si>
  <si>
    <t>Đơn chỉ chuyển sang Đã lấy hàng khi người giao xác nhận mã/QR lấy hàng với người gửi và chụp ảnh hàng tại điểm lấy.</t>
  </si>
  <si>
    <t>Chuyển trạng thái thiếu ảnh hoặc mã bị từ chối.</t>
  </si>
  <si>
    <t>BR-R-039</t>
  </si>
  <si>
    <t>Điều kiện chuyển sang Đã giao</t>
  </si>
  <si>
    <t>Đơn chỉ chuyển sang Đã giao khi nhập đúng OTP giao hàng (6 chữ số [PRM-094]) hoặc quét QR của người nhận; nhập sai quá 5 lần [PRM-095] thì khóa 30 phút [PRM-096].</t>
  </si>
  <si>
    <t>Sai OTP 5 lần: khóa 30 phút, có hướng dẫn liên hệ Hỗ trợ.</t>
  </si>
  <si>
    <t>PRM-094, PRM-095, PRM-096</t>
  </si>
  <si>
    <t>BR-R-040</t>
  </si>
  <si>
    <t>Giao ngoại lệ không có OTP</t>
  </si>
  <si>
    <t>Khi người nhận không thể cung cấp OTP, người giao được xác nhận ngoại lệ kèm ảnh giao, tọa độ và lý do; khi đó tiền ký quỹ chỉ tự giải ngân sau 24 giờ [PRM-070] nếu không có khiếu nại.</t>
  </si>
  <si>
    <t>UC-28, UC-36</t>
  </si>
  <si>
    <t>Giao ngoại lệ: tiền chưa chuyển cho người giao ngay.</t>
  </si>
  <si>
    <t>PRM-070</t>
  </si>
  <si>
    <t>BR-R-041</t>
  </si>
  <si>
    <t>Phạm vi chia sẻ vị trí</t>
  </si>
  <si>
    <t>Chỉ chia sẻ vị trí khi đơn đang ở Đã lấy hàng hoặc Đang giao, theo chu kỳ 15 giây [PRM-091]; ngừng ngay khi đơn kết thúc; người giao được thông báo rõ khi bắt đầu chia sẻ.</t>
  </si>
  <si>
    <t>Sau khi giao xong không còn điểm vị trí mới được ghi nhận.</t>
  </si>
  <si>
    <t>PRM-091</t>
  </si>
  <si>
    <t>BR-R-042</t>
  </si>
  <si>
    <t>Liên kết theo dõi công khai</t>
  </si>
  <si>
    <t>Liên kết theo dõi cho người nhận chứa mã ngẫu nhiên khó đoán, chỉ hiển thị thông tin tối thiểu và hết hiệu lực sau khi đơn kết thúc 48 giờ [PRM-071].</t>
  </si>
  <si>
    <t>Mã theo dõi không đoán được; liên kết hết hạn trả 410.</t>
  </si>
  <si>
    <t>BR-R-043</t>
  </si>
  <si>
    <t>Quá hạn lấy hàng</t>
  </si>
  <si>
    <t>Quá giờ hẹn lấy hàng cộng 30 phút [PRM-022] mà đơn chưa Đã lấy hàng thì hệ thống tự động hủy đơn, không tính phí hủy, hoàn đủ tiền ký quỹ cho người gửi và trừ 5 điểm [PRM-090] uy tín của người giao.</t>
  </si>
  <si>
    <t>UC-63, UC-37</t>
  </si>
  <si>
    <t>Job quá hạn chuyển trạng thái và hoàn tiền đúng.</t>
  </si>
  <si>
    <t>PRM-022, PRM-090</t>
  </si>
  <si>
    <t>BR-R-044</t>
  </si>
  <si>
    <t>Giao thất bại do người nhận</t>
  </si>
  <si>
    <t>Sau 3 lần gọi trong 30 phút [PRM-025] không liên lạc được người nhận thì người giao được báo giao thất bại; người giao nhận đủ phí giao, người gửi chịu thêm phí hoàn hàng 50% [PRM-052] phí giao và hàng được hoàn về điểm lấy.</t>
  </si>
  <si>
    <t>UC-30, UC-37</t>
  </si>
  <si>
    <t>Giao thất bại: bút toán phí giao + phí hoàn đúng; hàng chuyển sang Đang hoàn.</t>
  </si>
  <si>
    <t>PRM-025, PRM-052</t>
  </si>
  <si>
    <t>BR-R-045</t>
  </si>
  <si>
    <t>Lịch sử trạng thái bất biến</t>
  </si>
  <si>
    <t>Mọi lần chuyển trạng thái của đơn được ghi lại gồm người thực hiện, thời điểm, trạng thái cũ–mới và lý do; không được sửa hoặc xóa.</t>
  </si>
  <si>
    <t>UC-13, UC-60</t>
  </si>
  <si>
    <t>Không có API sửa/xóa lịch sử; kiểm tra bảng chỉ cho thêm.</t>
  </si>
  <si>
    <t>BR-R-046</t>
  </si>
  <si>
    <t>Giới hạn gộp đơn</t>
  </si>
  <si>
    <t>Một lượt giao gộp tối đa 5 đơn [PRM-101] đơn của cùng người giao và tổng khối lượng không vượt sức chứa khai báo của chuyến.</t>
  </si>
  <si>
    <t>Gộp đơn thứ 6 hoặc vượt sức chứa bị chặn.</t>
  </si>
  <si>
    <t>PRM-101</t>
  </si>
  <si>
    <t>BR-R-047</t>
  </si>
  <si>
    <t>Quy tắc đơn tiếp sức</t>
  </si>
  <si>
    <t>Đơn tiếp sức có tối đa 3 chặng [PRM-102]; mỗi chặng do một người giao riêng, ký quỹ và phí giao chia theo tỷ lệ quãng đường của từng chặng.</t>
  </si>
  <si>
    <t>Tổng phí các chặng bằng đúng phí giao đã ký quỹ.</t>
  </si>
  <si>
    <t>PRM-102</t>
  </si>
  <si>
    <t>BR-R-048</t>
  </si>
  <si>
    <t>Trách nhiệm theo chặng</t>
  </si>
  <si>
    <t>Mỗi người giao chịu trách nhiệm hàng hóa trong chặng của mình cho đến khi người giao kế tiếp quét QR bàn giao (hiệu lực 10 phút [PRM-097]) thành công; chặng sau chỉ bắt đầu sau khi chặng trước bàn giao xong.</t>
  </si>
  <si>
    <t>Chặng 2 không thể bắt đầu khi chặng 1 chưa bàn giao.</t>
  </si>
  <si>
    <t>PRM-097</t>
  </si>
  <si>
    <t>BR-R-049</t>
  </si>
  <si>
    <t>Công thức số dư ví</t>
  </si>
  <si>
    <t>Số dư khả dụng = tổng tiền nạp + thu nhập đã giải ngân + hoàn tiền − tiền đang ký quỹ − tiền đang chờ rút − tiền đã rút − các khoản phí; số dư khả dụng không được âm, trừ công nợ truy thu hợp lệ theo phán quyết khiếu nại.</t>
  </si>
  <si>
    <t>Kiểm tra bất biến sau mỗi bút toán; không có số dư âm ngoài công nợ.</t>
  </si>
  <si>
    <t>BR-R-050</t>
  </si>
  <si>
    <t>Hạn mức nạp tiền</t>
  </si>
  <si>
    <t>Mỗi lần nạp tối thiểu 20.000đ [PRM-056], tối đa 10.000.000đ [PRM-057]; tổng số dư ví không được vượt 20.000.000đ [PRM-058].</t>
  </si>
  <si>
    <t>Nạp vượt hạn mức bị từ chối trước khi chuyển sang VNPay.</t>
  </si>
  <si>
    <t>PRM-056, PRM-057, PRM-058</t>
  </si>
  <si>
    <t>BR-R-051</t>
  </si>
  <si>
    <t>Chỉ ghi có khi VNPay xác nhận</t>
  </si>
  <si>
    <t>Hệ thống chỉ cộng tiền vào ví khi giao dịch được VNPay xác nhận thành công qua IPN đã xác minh chữ ký (hoặc truy vấn kết quả), mã tham chiếu và số tiền khớp; trang kết quả trả về (Return URL) chỉ dùng để hiển thị.</t>
  </si>
  <si>
    <t>UC-34, UC-42</t>
  </si>
  <si>
    <t>Giả mạo Return URL không làm tăng số dư.</t>
  </si>
  <si>
    <t>BR-R-052</t>
  </si>
  <si>
    <t>Mã tham chiếu giao dịch</t>
  </si>
  <si>
    <t>Mỗi giao dịch VNPay có mã tham chiếu duy nhất do hệ thống sinh; liên kết thanh toán hết hạn sau 15 phút [PRM-067]; giao dịch hết hạn không được cộng tiền.</t>
  </si>
  <si>
    <t>Mã không trùng; IPN thành công đến sau khi đã hết hạn được đánh dấu để đối soát.</t>
  </si>
  <si>
    <t>PRM-067</t>
  </si>
  <si>
    <t>BR-R-053</t>
  </si>
  <si>
    <t>Điều kiện ký quỹ</t>
  </si>
  <si>
    <t>Khi người gửi xác nhận người giao, hệ thống giữ khoản tiền gồm phí giao đã thống nhất cộng phí bảo hiểm (nếu có) trừ khuyến mãi, từ ví hoặc từ thanh toán VNPay trực tiếp; không đủ tiền thì không xác nhận được.</t>
  </si>
  <si>
    <t>Ký quỹ thiếu tiền bị từ chối; sổ cái ghi đúng số tiền giữ.</t>
  </si>
  <si>
    <t>BR-R-054</t>
  </si>
  <si>
    <t>Điều kiện giải ngân</t>
  </si>
  <si>
    <t>Tiền ký quỹ được giải ngân cho người giao khi: (a) người nhận xác nhận bằng OTP/QR và qua 2 giờ [PRM-069] không có khiếu nại; hoặc (b) giao ngoại lệ và qua 24 giờ [PRM-070] không có khiếu nại; nếu có khiếu nại thì đóng băng đến khi có phán quyết.</t>
  </si>
  <si>
    <t>UC-36, UC-50</t>
  </si>
  <si>
    <t>Ba kịch bản giải ngân cho kết quả đúng thời điểm.</t>
  </si>
  <si>
    <t>PRM-069, PRM-070</t>
  </si>
  <si>
    <t>BR-R-055</t>
  </si>
  <si>
    <t>Tính hoa hồng khi giải ngân</t>
  </si>
  <si>
    <t>Hoa hồng nền tảng tính theo hạng của người giao tại thời điểm chấp nhận đơn (khóa giá trị đó cho đến hết đơn); người giao nhận phí giao trừ hoa hồng; 10% [PRM-049] hoa hồng và toàn bộ phí bảo hiểm được chuyển vào Quỹ bảo đảm.</t>
  </si>
  <si>
    <t>Đổi hạng giữa chừng không làm thay đổi hoa hồng của đơn đã nhận.</t>
  </si>
  <si>
    <t>PRM-049</t>
  </si>
  <si>
    <t>BR-R-056</t>
  </si>
  <si>
    <t>Nơi hoàn tiền</t>
  </si>
  <si>
    <t>Khi đơn bị hủy/hết hạn/giao thất bại do người giao, tiền ký quỹ được hoàn ngay vào ví của người gửi; hoàn về nguồn thanh toán VNPay chỉ thực hiện khi người dùng yêu cầu và giao dịch gốc là thanh toán trực tiếp qua VNPay.</t>
  </si>
  <si>
    <t>Hoàn vào ví hiển thị ngay; hoàn về nguồn tạo yêu cầu refund gửi VNPay.</t>
  </si>
  <si>
    <t>BR-R-057</t>
  </si>
  <si>
    <t>Người dùng chỉ được rút khi số dư khả dụng ≥ 100.000đ [PRM-059]; số tiền mỗi lần rút ≥ 100.000đ [PRM-059] và ≤ 10.000.000đ [PRM-060], tổng một ngày ≤ 20.000.000đ [PRM-061].</t>
  </si>
  <si>
    <t>Số dư 99.000đ không thể tạo yêu cầu rút; rút 10.000.001đ bị từ chối.</t>
  </si>
  <si>
    <t>PRM-059, PRM-060, PRM-061</t>
  </si>
  <si>
    <t>BR-R-058</t>
  </si>
  <si>
    <t>Tài khoản nhận tiền chính chủ</t>
  </si>
  <si>
    <t>Chỉ rút về tài khoản ngân hàng đứng tên chính người dùng, họ tên chủ tài khoản khớp (không phân biệt dấu và chữ hoa/thường) với họ tên trên KYC; tài khoản mới thêm hoặc thay đổi phải chờ 24 giờ [PRM-066] mới được rút.</t>
  </si>
  <si>
    <t>Tài khoản khác tên bị từ chối; rút về tài khoản mới trong 24 giờ bị chặn.</t>
  </si>
  <si>
    <t>PRM-066</t>
  </si>
  <si>
    <t>BR-R-059</t>
  </si>
  <si>
    <t>Mỗi người dùng được miễn phí 4 lần [PRM-062]; từ lần rút kế tiếp trong tháng thu 5.000đ [PRM-063] và trừ vào số tiền nhận.</t>
  </si>
  <si>
    <t>Lần rút thứ 5 trong tháng bị tính phí đúng mức.</t>
  </si>
  <si>
    <t>PRM-062, PRM-063</t>
  </si>
  <si>
    <t>BR-R-060</t>
  </si>
  <si>
    <t>Tách biệt nhiệm vụ khi duyệt rút</t>
  </si>
  <si>
    <t>Yêu cầu rút từ 5.000.000đ [PRM-065] cần hai Admin khác nhau duyệt; Admin không được duyệt yêu cầu do chính mình tạo hoặc đứng tên.</t>
  </si>
  <si>
    <t>Cùng một Admin duyệt hai cấp bị chặn.</t>
  </si>
  <si>
    <t>PRM-065</t>
  </si>
  <si>
    <t>BR-R-061</t>
  </si>
  <si>
    <t>Giữ tiền khi chờ rút</t>
  </si>
  <si>
    <t>Khi tạo yêu cầu rút, số tiền chuyển từ khả dụng sang chờ rút; bị từ chối hoặc chi trả thất bại thì hoàn lại ngay vào ví khả dụng; mỗi người dùng chỉ có tối đa 1 yêu cầu rút đang xử lý.</t>
  </si>
  <si>
    <t>UC-40, UC-41</t>
  </si>
  <si>
    <t>Tạo yêu cầu thứ hai khi đang chờ bị chặn; thất bại hoàn lại đúng số tiền.</t>
  </si>
  <si>
    <t>BR-R-062</t>
  </si>
  <si>
    <t>Đối soát hằng ngày</t>
  </si>
  <si>
    <t>Hệ thống đối soát giao dịch VNPay và sổ cái lúc 2 giờ (02:00) [PRM-072] mỗi ngày; chênh lệch chỉ tạo cảnh báo cho Admin xử lý, không được tự động điều chỉnh số dư.</t>
  </si>
  <si>
    <t>Lệch giả lập tạo cảnh báo, số dư không đổi.</t>
  </si>
  <si>
    <t>PRM-072</t>
  </si>
  <si>
    <t>BR-R-063</t>
  </si>
  <si>
    <t>Số tiền nguyên và làm tròn</t>
  </si>
  <si>
    <t>Mọi số tiền là số nguyên VND; phí giao làm tròn lên bội số 500đ [PRM-053]; hoa hồng làm tròn xuống đến đồng, phần lẻ thuộc về người giao.</t>
  </si>
  <si>
    <t>UC-11, UC-36</t>
  </si>
  <si>
    <t>Bảng test làm tròn đúng với 20 trường hợp mẫu.</t>
  </si>
  <si>
    <t>PRM-053</t>
  </si>
  <si>
    <t>BR-R-064</t>
  </si>
  <si>
    <t>Quỹ bảo đảm là tài khoản riêng trong sổ cái, chỉ nhận tiền theo quy tắc trích và chỉ chi cho khoản bồi thường đã có phán quyết.</t>
  </si>
  <si>
    <t>UC-36, UC-52</t>
  </si>
  <si>
    <t>Không tồn tại bút toán chi quỹ nếu thiếu phán quyết.</t>
  </si>
  <si>
    <t>BR-R-065</t>
  </si>
  <si>
    <t>Công thức giá gợi ý</t>
  </si>
  <si>
    <t>Giá gợi ý = (phí cơ bản 10.000đ [PRM-026] cho 2 km [PRM-027] đầu + 3.500đ [PRM-028] mỗi km tiếp theo đến 50 km [PRM-029], phần vượt tính 2.000đ [PRM-030]/km + phụ phí khối lượng + phụ phí cỡ) × hệ số khẩn cấp, làm tròn theo quy tắc và không thấp hơn 10.000đ [PRM-038].</t>
  </si>
  <si>
    <t>Bảng test 20 ca khớp kết quả sheet 07_Biểu_phí_Mô_phỏng.</t>
  </si>
  <si>
    <t>PRM-026, PRM-027, PRM-028, PRM-029, PRM-030, PRM-038</t>
  </si>
  <si>
    <t>BR-R-066</t>
  </si>
  <si>
    <t>Phụ phí khối lượng và hệ số khẩn cấp</t>
  </si>
  <si>
    <t>Phụ phí khối lượng: ≤ 2 kg 0đ; trên 2–5 kg 5.000đ [PRM-031]; trên 5–10 kg 12.000đ [PRM-032]; trên 10–20 kg 25.000đ [PRM-033]. Hệ số khẩn cấp: giao gấp trong 2 giờ ×1,5 [PRM-036], trong ngày ×1,2 [PRM-037], thường ×1.</t>
  </si>
  <si>
    <t>Test biên 2/5/10/20 kg và các mức khẩn cấp.</t>
  </si>
  <si>
    <t>PRM-031, PRM-032, PRM-033, PRM-036, PRM-037</t>
  </si>
  <si>
    <t>BR-R-067</t>
  </si>
  <si>
    <t>Hoa hồng theo hạng</t>
  </si>
  <si>
    <t>Hoa hồng thu từ người giao, tính trên phí giao đã thống nhất: Tân binh 8% [PRM-042], Đồng 7% [PRM-043], Bạc 6% [PRM-044], Vàng 5% [PRM-045], Kim cương 4% [PRM-046]; không tính trên giá trị hàng.</t>
  </si>
  <si>
    <t>Bảng test hoa hồng mỗi hạng đúng; giá trị hàng không ảnh hưởng.</t>
  </si>
  <si>
    <t>PRM-042, PRM-043, PRM-044, PRM-045, PRM-046</t>
  </si>
  <si>
    <t>BR-R-068</t>
  </si>
  <si>
    <t>Người gửi không trả phí nền tảng</t>
  </si>
  <si>
    <t>Người gửi chỉ trả phí giao và phí bảo hiểm tùy chọn (1% [PRM-047] giá trị khai báo, tối thiểu 2.000đ [PRM-048]); nền tảng không thu thêm phí từ người gửi.</t>
  </si>
  <si>
    <t>UC-11, UC-35</t>
  </si>
  <si>
    <t>Tổng thanh toán của người gửi = phí giao + bảo hiểm − khuyến mãi.</t>
  </si>
  <si>
    <t>PRM-047, PRM-048</t>
  </si>
  <si>
    <t>BR-R-069</t>
  </si>
  <si>
    <t>Quy tắc khuyến mãi</t>
  </si>
  <si>
    <t>Mỗi đơn áp dụng tối đa 1 mã; giá trị giảm không vượt phí giao; mã có hạn dùng, số lượt và đối tượng áp dụng; chi phí khuyến mãi do nền tảng chịu và không làm giảm thu nhập của người giao.</t>
  </si>
  <si>
    <t>UC-44, UC-45</t>
  </si>
  <si>
    <t>Mã hết hạn/hết lượt bị từ chối; thu nhập người giao không đổi khi dùng mã.</t>
  </si>
  <si>
    <t>BR-R-070</t>
  </si>
  <si>
    <t>Điều kiện đánh giá</t>
  </si>
  <si>
    <t>Chỉ hai bên của đơn đã hoàn tất được đánh giá, trong 7 ngày [PRM-087], mỗi bên một đánh giá cho mỗi đơn; điểm từ 1 đến 5 sao và đánh giá ≤ 2 sao phải chọn lý do.</t>
  </si>
  <si>
    <t>Đánh giá lần hai hoặc quá hạn bị từ chối.</t>
  </si>
  <si>
    <t>PRM-087</t>
  </si>
  <si>
    <t>BR-R-071</t>
  </si>
  <si>
    <t>Đánh giá ẩn đến khi cả hai gửi</t>
  </si>
  <si>
    <t>Nội dung đánh giá chỉ hiển thị khi cả hai bên đã gửi hoặc khi hết thời hạn đánh giá, nhằm tránh đánh giá trả đũa.</t>
  </si>
  <si>
    <t>UC-47, UC-48</t>
  </si>
  <si>
    <t>Trước khi bên kia gửi, API không trả nội dung đánh giá của họ.</t>
  </si>
  <si>
    <t>BR-R-072</t>
  </si>
  <si>
    <t>Công thức điểm uy tín</t>
  </si>
  <si>
    <t>Điểm uy tín người giao (0–100) khởi tạo 50 điểm [PRM-074], cập nhật sau mỗi đơn và tính lại hằng đêm theo trọng số: giao đúng hạn 35% [PRM-075], đánh giá trung bình 30% [PRM-076], hoàn thành đơn đã nhận 20% [PRM-077], khiếu nại bị xử thua (điểm trừ) 15% [PRM-078].</t>
  </si>
  <si>
    <t>Test dữ liệu mẫu cho điểm đúng theo công thức.</t>
  </si>
  <si>
    <t>PRM-074, PRM-075, PRM-076, PRM-077, PRM-078</t>
  </si>
  <si>
    <t>BR-R-073</t>
  </si>
  <si>
    <t>Điều kiện lên và xuống hạng</t>
  </si>
  <si>
    <t>Hạng được xác định tự động theo điều kiện: Đồng ≥ 55 điểm &amp; ≥ 5 đơn [PRM-079]; Bạc ≥ 70 điểm &amp; ≥ 20 đơn [PRM-080]; Vàng ≥ 85 điểm &amp; ≥ 60 đơn [PRM-081]; Kim cương ≥ 95 điểm &amp; ≥ 150 đơn [PRM-082]; không còn thỏa điều kiện thì tự động xuống hạng.</t>
  </si>
  <si>
    <t>Thay đổi dữ liệu mẫu làm hạng lên/xuống đúng ngưỡng.</t>
  </si>
  <si>
    <t>PRM-079, PRM-080, PRM-081, PRM-082</t>
  </si>
  <si>
    <t>BR-R-074</t>
  </si>
  <si>
    <t>Xử lý điểm thấp</t>
  </si>
  <si>
    <t>Điểm uy tín dưới 30 điểm [PRM-085] thì hạn chế nhận đơn giá trị thấp; dưới 20 điểm [PRM-086] thì chuyển Admin xem xét khóa nhận đơn.</t>
  </si>
  <si>
    <t>UC-49, UC-56</t>
  </si>
  <si>
    <t>Người giao điểm 25 không nhận được đơn trên ngưỡng giá trị thấp.</t>
  </si>
  <si>
    <t>PRM-085, PRM-086</t>
  </si>
  <si>
    <t>BR-R-075</t>
  </si>
  <si>
    <t>Hủy đơn của người giao</t>
  </si>
  <si>
    <t>Mỗi lần người giao hủy sau khi đã nhận trừ 5 điểm [PRM-090]; quá 3 lần [PRM-088] trong 30 ngày thì bị tạm khóa nhận đơn 3 ngày [PRM-089].</t>
  </si>
  <si>
    <t>UC-15, UC-49</t>
  </si>
  <si>
    <t>Hủy lần thứ 4 trong 30 ngày kích hoạt khóa 3 ngày.</t>
  </si>
  <si>
    <t>PRM-090, PRM-088, PRM-089</t>
  </si>
  <si>
    <t>BR-R-076</t>
  </si>
  <si>
    <t>Điều kiện tạo khiếu nại</t>
  </si>
  <si>
    <t>Khiếu nại phải gửi trong 48 giờ [PRM-071] sau khi đơn Đã giao, có mô tả và ít nhất 1 bằng chứng (ảnh hoặc tin nhắn); mỗi đơn chỉ có một khiếu nại đang mở của cùng một bên.</t>
  </si>
  <si>
    <t>Khiếu nại quá hạn hoặc thiếu bằng chứng bị từ chối.</t>
  </si>
  <si>
    <t>BR-R-077</t>
  </si>
  <si>
    <t>Đóng băng và thu hồi tiền</t>
  </si>
  <si>
    <t>Khi có khiếu nại, tiền ký quỹ chưa giải ngân bị đóng băng; nếu đã giải ngân thì thu hồi theo phán quyết từ thu nhập của người giao hoặc chi từ Quỹ bảo đảm.</t>
  </si>
  <si>
    <t>UC-50, UC-51, UC-52</t>
  </si>
  <si>
    <t>Khiếu nại tạo đóng băng; phán quyết tạo đúng bút toán.</t>
  </si>
  <si>
    <t>BR-R-078</t>
  </si>
  <si>
    <t>Thời hạn xử lý khiếu nại</t>
  </si>
  <si>
    <t>Kiểm duyệt phản hồi đầu tiên trong 24 giờ [PRM-104] và xử lý xong trong 5 ngày làm việc [PRM-105]; mỗi bên được kháng nghị 1 lần trong 48 giờ [PRM-106] kể từ khi có phán quyết.</t>
  </si>
  <si>
    <t>Hệ thống cảnh báo khiếu nại sắp quá SLA; kháng nghị lần hai bị từ chối.</t>
  </si>
  <si>
    <t>PRM-104, PRM-105, PRM-106</t>
  </si>
  <si>
    <t>BR-R-079</t>
  </si>
  <si>
    <t>Điều kiện bồi thường</t>
  </si>
  <si>
    <t>Bồi thường từ Quỹ bảo đảm tối đa bằng giá trị khai báo và chỉ áp dụng cho đơn có mua bảo hiểm; đơn không mua bảo hiểm chỉ được hoàn phí giao; khi quỹ không đủ thì xử lý theo thứ tự phán quyết.</t>
  </si>
  <si>
    <t>Đơn không bảo hiểm không phát sinh khoản bồi thường.</t>
  </si>
  <si>
    <t>BR-R-080</t>
  </si>
  <si>
    <t>Kiểm duyệt tự động</t>
  </si>
  <si>
    <t>Đơn có từ khóa hoặc danh mục thuộc danh sách cấm/nghi ngờ tự chuyển sang Chờ kiểm duyệt; đơn không vi phạm tự chuyển sang Đang mở.</t>
  </si>
  <si>
    <t>UC-12, UC-54</t>
  </si>
  <si>
    <t>Đơn chứa từ khóa cấm vào hàng đợi Kiểm duyệt; đơn sạch lên sàn ngay.</t>
  </si>
  <si>
    <t>BR-R-081</t>
  </si>
  <si>
    <t>Tài khoản bị khóa</t>
  </si>
  <si>
    <t>Tài khoản bị khóa không đăng nhập được và mọi phiên bị thu hồi; các đơn đang xử lý của tài khoản được Admin chuyển người giao khác hoặc hủy và hoàn tiền.</t>
  </si>
  <si>
    <t>Khóa tài khoản: token cũ lập tức vô hiệu.</t>
  </si>
  <si>
    <t>BR-R-082</t>
  </si>
  <si>
    <t>Danh sách đen</t>
  </si>
  <si>
    <t>Số CCCD, số điện thoại hoặc thiết bị nằm trong danh sách đen không thể đăng ký mới hoặc xác minh KYC.</t>
  </si>
  <si>
    <t>UC-56, UC-09</t>
  </si>
  <si>
    <t>Đăng ký bằng SĐT trong danh sách đen bị từ chối.</t>
  </si>
  <si>
    <t>BR-R-083</t>
  </si>
  <si>
    <t>Áp dụng thay đổi tham số</t>
  </si>
  <si>
    <t>Thay đổi tham số giá, phí, hạn mức chỉ áp dụng cho đơn tạo sau thời điểm thay đổi; các đơn đang xử lý giữ giá trị đã chốt tại thời điểm tạo hoặc chấp nhận.</t>
  </si>
  <si>
    <t>Đổi hoa hồng không ảnh hưởng đơn đang ASSIGNED.</t>
  </si>
  <si>
    <t>BR-R-084</t>
  </si>
  <si>
    <t>Quyền xem dữ liệu nhạy cảm</t>
  </si>
  <si>
    <t>Chỉ Kiểm duyệt và Admin được cấp quyền mới xem được ảnh CCCD; mỗi lượt xem được ghi nhật ký; không ai được duyệt KYC hoặc giao dịch của chính mình.</t>
  </si>
  <si>
    <t>UC-09, UC-60</t>
  </si>
  <si>
    <t>Mỗi lượt xem tạo bản ghi audit; tự duyệt bị chặn.</t>
  </si>
  <si>
    <t>BR-R-085</t>
  </si>
  <si>
    <t>Thông báo bắt buộc</t>
  </si>
  <si>
    <t>Thông báo bảo mật, giao dịch tiền, khiếu nại và thay đổi trạng thái đơn là bắt buộc, người dùng không thể tắt; thông báo khuyến mãi và gợi ý cho phép tắt.</t>
  </si>
  <si>
    <t>Cài đặt không cho tắt loại thông báo bắt buộc.</t>
  </si>
  <si>
    <t>BR-C-001</t>
  </si>
  <si>
    <t>Business Constraint</t>
  </si>
  <si>
    <t>Nền tảng công nghệ bắt buộc</t>
  </si>
  <si>
    <t>Backend dùng Java (JDK 21) và Spring Boot 3; Frontend dùng ReactJS (Node 21) theo kiến trúc Single Page Application, đúng đề cương môn SBA301.</t>
  </si>
  <si>
    <t>Mã nguồn build thành công trên JDK 21/Node 21; không dùng framework backend/frontend khác cho chức năng lõi.</t>
  </si>
  <si>
    <t>Đề cương SBA301</t>
  </si>
  <si>
    <t>BR-C-002</t>
  </si>
  <si>
    <t>Cơ sở dữ liệu bắt buộc</t>
  </si>
  <si>
    <t>Dữ liệu giao dịch và nghiệp vụ lưu ở SQL Server; dữ liệu dạng sự kiện/ghi nhiều (vị trí, chat, thông báo, nhật ký) lưu ở MongoDB.</t>
  </si>
  <si>
    <t>Có cả 2 kết nối CSDL hoạt động; mỗi loại dữ liệu nằm đúng kho theo sheet 09_Dữ_liệu.</t>
  </si>
  <si>
    <t>BR-C-003</t>
  </si>
  <si>
    <t>Tầng truy cập dữ liệu</t>
  </si>
  <si>
    <t>Dùng Spring Data JPA/Hibernate cho SQL Server và Spring Data MongoDB cho MongoDB; không viết truy vấn SQL thủ công ngoài các trường hợp báo cáo đã được nhóm phê duyệt.</t>
  </si>
  <si>
    <t>Rà soát mã: truy vấn qua Repository/JPQL; ngoại lệ có ghi chú ADR.</t>
  </si>
  <si>
    <t>BR-C-004</t>
  </si>
  <si>
    <t>Giao tiếp RESTful và tài liệu API</t>
  </si>
  <si>
    <t>Client–Server giao tiếp bằng RESTful API (JSON); mọi API phải có tài liệu OpenAPI/Swagger; kênh thời gian thực dùng WebSocket (STOMP) hoặc SSE.</t>
  </si>
  <si>
    <t>Swagger UI hiển thị 100% endpoint ở sheet 10_API; WebSocket hoạt động cho chat và tracking.</t>
  </si>
  <si>
    <t>BR-C-005</t>
  </si>
  <si>
    <t>Cơ chế bảo mật bắt buộc</t>
  </si>
  <si>
    <t>Xác thực và phân quyền dùng Spring Security với JWT và phân quyền theo vai trò (RBAC); không tự xây cơ chế xác thực riêng.</t>
  </si>
  <si>
    <t>Mọi endpoint (trừ danh sách công khai) trả 401/403 khi thiếu token/quyền.</t>
  </si>
  <si>
    <t>BR-C-006</t>
  </si>
  <si>
    <t>Thanh toán trực tuyến qua VNPay</t>
  </si>
  <si>
    <t>Mọi giao dịch thu tiền trực tuyến (nạp ví, thanh toán đơn) bắt buộc thực hiện qua cổng thanh toán VNPay; hệ thống không lưu số thẻ, mật khẩu hay OTP ngân hàng của người dùng.</t>
  </si>
  <si>
    <t>UC-34, UC-35, UC-42</t>
  </si>
  <si>
    <t>Không có trường dữ liệu thẻ/OTP ngân hàng trong CSDL; luồng thanh toán chuyển hướng sang trang VNPay.</t>
  </si>
  <si>
    <t>Đối tác VNPay</t>
  </si>
  <si>
    <t>BR-C-007</t>
  </si>
  <si>
    <t>Hoàn tiền về đúng nguồn</t>
  </si>
  <si>
    <t>Hoàn tiền cho giao dịch đã thanh toán qua VNPay chỉ thực hiện bằng API hoàn tiền của VNPay (về đúng phương thức thanh toán ban đầu); không chuyển khoản thủ công thay thế.</t>
  </si>
  <si>
    <t>Mọi bản ghi REFUND tới nguồn VNPay có mã giao dịch hoàn của VNPay.</t>
  </si>
  <si>
    <t>BR-C-008</t>
  </si>
  <si>
    <t>Giới hạn của VNPay về rút tiền</t>
  </si>
  <si>
    <t>Tài liệu tích hợp công khai của cổng thanh toán VNPay chỉ gồm tạo thanh toán, truy vấn và hoàn tiền, không có API chi tiền cho người dùng cuối; hệ thống phải thiết kế chức năng rút tiền qua giao diện PayoutProvider để thay thế được nhà cung cấp: bản đồ án dùng Mock/duyệt thủ công, vận hành thật cần hợp đồng dịch vụ chi hộ với đơn vị có giấy phép.</t>
  </si>
  <si>
    <t>Có interface PayoutProvider với ≥ 2 triển khai (Mock, Manual); đổi nhà cung cấp chỉ bằng cấu hình.</t>
  </si>
  <si>
    <t>BR-C-009</t>
  </si>
  <si>
    <t>Ràng buộc pháp lý về ví và ký quỹ</t>
  </si>
  <si>
    <t>Việc nắm giữ số dư tiền của người dùng có thể thuộc dịch vụ ví điện tử/trung gian thanh toán cần giấy phép của Ngân hàng Nhà nước (Nghị định 52/2024/NĐ-CP). Giai đoạn đồ án chỉ vận hành với sandbox và tiền mô phỏng; triển khai thực tế phải qua đối tác được cấp phép hoặc hoàn tất thủ tục xin phép.</t>
  </si>
  <si>
    <t>UC-35, UC-38</t>
  </si>
  <si>
    <t>Giao diện hiển thị nhãn 'Môi trường thử nghiệm' khi chạy sandbox; có mục này trong báo cáo pháp lý của đồ án.</t>
  </si>
  <si>
    <t>Pháp luật/Quy định</t>
  </si>
  <si>
    <t>BR-C-010</t>
  </si>
  <si>
    <t>Ràng buộc thuế</t>
  </si>
  <si>
    <t>Theo Nghị định 117/2025/NĐ-CP, nền tảng có chức năng thanh toán có thể phải khấu trừ, kê khai và nộp thuế thay cho cá nhân kinh doanh; hệ thống phải lưu đủ doanh thu theo từng người giao và hỗ trợ cấu hình tỷ lệ khấu trừ 0% [PRM-055] khi thương mại hóa.</t>
  </si>
  <si>
    <t>UC-36, UC-59</t>
  </si>
  <si>
    <t>Báo cáo doanh thu theo người giao theo tháng xuất được; tỷ lệ khấu trừ cấu hình được ở tham số.</t>
  </si>
  <si>
    <t>PRM-055</t>
  </si>
  <si>
    <t>BR-C-011</t>
  </si>
  <si>
    <t>Bảo vệ dữ liệu cá nhân</t>
  </si>
  <si>
    <t>Việc thu thập và xử lý dữ liệu cá nhân (CCCD, ảnh chân dung, vị trí) tuân thủ Nghị định 13/2023/NĐ-CP: có sự đồng ý rõ ràng, mục đích cụ thể, mã hóa khi lưu trữ và chỉ người có thẩm quyền truy cập.</t>
  </si>
  <si>
    <t>UC-01, UC-08</t>
  </si>
  <si>
    <t>Màn hình đồng ý ghi nhận phiên bản chính sách; ảnh CCCD được mã hóa; truy cập ghi nhật ký.</t>
  </si>
  <si>
    <t>BR-C-012</t>
  </si>
  <si>
    <t>Hàng hóa bị cấm</t>
  </si>
  <si>
    <t>Không nhận vận chuyển hàng hóa pháp luật cấm hoặc nền tảng quy định cấm (vũ khí, chất nổ, chất cháy, chất ma túy, hàng giả, động vật sống, tiền mặt và giấy tờ có giá trị lớn, hàng dễ hư hỏng cần bảo quản đặc biệt).</t>
  </si>
  <si>
    <t>UC-12, UC-54, UC-58</t>
  </si>
  <si>
    <t>Đơn chứa hàng thuộc danh mục cấm bị từ chối/kiểm duyệt; danh mục cấm quản trị được.</t>
  </si>
  <si>
    <t>BR-C-013</t>
  </si>
  <si>
    <t>Định vị pháp lý của nền tảng</t>
  </si>
  <si>
    <t>FPTPost là nền tảng kết nối cá nhân với cá nhân; không tự cung ứng dịch vụ bưu chính và không cam kết thay người giao. Cần thẩm định pháp lý (Luật Bưu chính 2010 và quy định liên quan) trước khi thương mại hóa.</t>
  </si>
  <si>
    <t>Điều khoản sử dụng nêu rõ vai trò trung gian; có mục thẩm định pháp lý trong tài liệu dự án.</t>
  </si>
  <si>
    <t>BR-C-014</t>
  </si>
  <si>
    <t>Ngôn ngữ, tiền tệ, múi giờ</t>
  </si>
  <si>
    <t>Giao diện chính bằng tiếng Việt; tiền tệ VND (số nguyên, không số thập phân); múi giờ UTC+7; định dạng ngày dd/MM/yyyy, giờ 24h.</t>
  </si>
  <si>
    <t>Kiểm tra giao diện và API: số tiền kiểu số nguyên VND; thời gian lưu UTC, hiển thị UTC+7.</t>
  </si>
  <si>
    <t>Phạm vi dự án</t>
  </si>
  <si>
    <t>BR-C-015</t>
  </si>
  <si>
    <t>Nguồn lực và thời gian</t>
  </si>
  <si>
    <t>Nhóm 6 người, 12 tuần, khoảng 24 giờ/người/tuần; phạm vi phải co giãn theo MoSCoW, ưu tiên UC mức Must và Should.</t>
  </si>
  <si>
    <t>Kế hoạch ở sheet 13 không vượt công suất tính theo công thức.</t>
  </si>
  <si>
    <t>BR-C-016</t>
  </si>
  <si>
    <t>Ngân sách hạ tầng</t>
  </si>
  <si>
    <t>Chỉ dùng dịch vụ miễn phí hoặc chi phí rất thấp: bản đồ OpenStreetMap/Leaflet, sandbox VNPay, email SMTP miễn phí, SMS giả lập; không bắt buộc dịch vụ trả phí.</t>
  </si>
  <si>
    <t>Danh sách dịch vụ ngoài ở tài liệu SPEC không có hạng mục bắt buộc trả phí.</t>
  </si>
  <si>
    <t>BR-C-017</t>
  </si>
  <si>
    <t>Phạm vi trình duyệt và thiết bị</t>
  </si>
  <si>
    <t>Hỗ trợ Chrome, Edge, Firefox, Safari (2 phiên bản chính gần nhất); giao diện đáp ứng từ chiều rộng 360px; không có ứng dụng native. Chia sẻ vị trí phụ thuộc quyền Geolocation của trình duyệt và hoạt động khi trang đang mở (hạn chế chạy nền).</t>
  </si>
  <si>
    <t>Kiểm thử thủ công trên 4 trình duyệt và 3 kích thước màn hình; có thông báo hướng dẫn giữ trang mở khi giao.</t>
  </si>
  <si>
    <t>BR-C-018</t>
  </si>
  <si>
    <t>Đóng gói và tích hợp liên tục</t>
  </si>
  <si>
    <t>Hệ thống đóng gói bằng Docker; có pipeline CI chạy build và kiểm thử tự động cho mọi pull request, phù hợp nội dung DevOps trong đề cương.</t>
  </si>
  <si>
    <t>Pipeline xanh trên nhánh chính; docker compose dựng được toàn hệ thống bằng một lệnh.</t>
  </si>
  <si>
    <t>BR-C-019</t>
  </si>
  <si>
    <t>Môi trường thanh toán thử nghiệm</t>
  </si>
  <si>
    <t>Trong thời gian phát triển chỉ dùng môi trường sandbox VNPay (thẻ thử nghiệm); chuyển sang môi trường thật chỉ sau khi có hợp đồng và hoàn tất kịch bản kiểm thử tích hợp (SIT) với VNPay.</t>
  </si>
  <si>
    <t>Cấu hình môi trường phân tách; khóa production không có trong mã nguồn.</t>
  </si>
  <si>
    <t>BR-C-020</t>
  </si>
  <si>
    <t>Giới hạn nghiệp vụ giai đoạn pilot</t>
  </si>
  <si>
    <t>Giai đoạn pilot chỉ nhận hàng ≤ 20 kg [PRM-012], cạnh dài ≤ 80 cm [PRM-013], giá trị khai báo ≤ 3.000.000đ [PRM-016], tuyến nội tỉnh/thành hoặc liên tỉnh không quá 150 km.</t>
  </si>
  <si>
    <t>Tạo đơn vượt giới hạn bị chặn kèm thông báo rõ lý do.</t>
  </si>
  <si>
    <t>BR-C-021</t>
  </si>
  <si>
    <t>Phụ thuộc dịch vụ bản đồ</t>
  </si>
  <si>
    <t>Tính quãng đường bằng dịch vụ định tuyến miễn phí (OSRM/OpenRouteService) có giới hạn lưu lượng; phải có phương án dự phòng dùng khoảng cách đường chim bay nhân hệ số 1,3 khi dịch vụ không khả dụng.</t>
  </si>
  <si>
    <t>Khi tắt dịch vụ định tuyến, hệ thống vẫn ước tính giá và đánh dấu 'ước tính gần đúng'.</t>
  </si>
  <si>
    <t>BR-C-022</t>
  </si>
  <si>
    <t>Độ tuổi sử dụng</t>
  </si>
  <si>
    <t>Người dùng phải từ đủ 18 tuổi; người giao phải có CCCD hợp lệ còn hiệu lực.</t>
  </si>
  <si>
    <t>UC-01, UC-10</t>
  </si>
  <si>
    <t>Đăng ký yêu cầu xác nhận đủ 18 tuổi; hồ sơ người giao thiếu CCCD hợp lệ không được duyệt.</t>
  </si>
  <si>
    <t>BR-G-001</t>
  </si>
  <si>
    <t>Business Goal</t>
  </si>
  <si>
    <t>Giảm chi phí giao hàng cho người gửi</t>
  </si>
  <si>
    <t>Giảm chi phí giao hàng trung bình của người gửi ít nhất 30% so với dịch vụ vận chuyển thương mại cùng tuyến nội thành trong 6 tháng sau khi vận hành chính thức.</t>
  </si>
  <si>
    <t>Khảo sát so sánh giá trên ≥ 100 đơn mẫu cùng tuyến, mức giảm trung bình ≥ 30%.</t>
  </si>
  <si>
    <t>BR-G-002</t>
  </si>
  <si>
    <t>Quy mô cộng đồng giai đoạn pilot</t>
  </si>
  <si>
    <t>Đạt tối thiểu 1.000 tài khoản đã xác minh và 300 người giao hoạt động trong 3 tháng đầu pilot tại cộng đồng FPT.</t>
  </si>
  <si>
    <t>UC-01, UC-08, UC-10</t>
  </si>
  <si>
    <t>Báo cáo dashboard UC-59: số tài khoản KYC=APPROVED ≥ 1.000; người giao có ≥ 1 đơn hoàn tất ≥ 300.</t>
  </si>
  <si>
    <t>BR-G-003</t>
  </si>
  <si>
    <t>Tốc độ nhận đơn</t>
  </si>
  <si>
    <t>Tối thiểu 70% đơn nội thành được người giao nhận trong vòng 2 giờ kể từ khi đăng lên sàn.</t>
  </si>
  <si>
    <t>UC-16, UC-17, UC-18</t>
  </si>
  <si>
    <t>Tỷ lệ đơn có ASSIGNED_AT − OPEN_AT ≤ 2 giờ ≥ 70% trên tập đơn pilot.</t>
  </si>
  <si>
    <t>BR-G-004</t>
  </si>
  <si>
    <t>Giao đúng hạn</t>
  </si>
  <si>
    <t>Tối thiểu 92% đơn được giao thành công đúng hoặc sớm hơn thời hạn người gửi chọn.</t>
  </si>
  <si>
    <t>Tỷ lệ đơn COMPLETED có DELIVERED_AT ≤ deadline ≥ 92%.</t>
  </si>
  <si>
    <t>BR-G-005</t>
  </si>
  <si>
    <t>Giảm tranh chấp</t>
  </si>
  <si>
    <t>Tỷ lệ đơn phát sinh khiếu nại không quá 3% tổng số đơn hoàn tất; ≥ 90% khiếu nại được giải quyết trong thời hạn SLA.</t>
  </si>
  <si>
    <t>UC-50, UC-51</t>
  </si>
  <si>
    <t>Tỷ lệ khiếu nại/đơn ≤ 3%; tỷ lệ khiếu nại đóng đúng SLA ≥ 90%.</t>
  </si>
  <si>
    <t>BR-G-006</t>
  </si>
  <si>
    <t>Hoa hồng hấp dẫn</t>
  </si>
  <si>
    <t>Duy trì hoa hồng nền tảng từ 8% [PRM-042] giảm dần đến 4% [PRM-046] theo hạng, bảo đảm thu nhập ròng của người giao tối thiểu 92% phí giao.</t>
  </si>
  <si>
    <t>Báo cáo thu nhập: tổng thu nhập ròng / tổng phí giao ≥ 92%.</t>
  </si>
  <si>
    <t>PRM-042, PRM-046</t>
  </si>
  <si>
    <t>BR-G-007</t>
  </si>
  <si>
    <t>Chất lượng người giao</t>
  </si>
  <si>
    <t>Tối thiểu 80% người giao đạt hạng Đồng trở lên sau 60 ngày hoạt động.</t>
  </si>
  <si>
    <t>Tỷ lệ người giao hạng ≥ Đồng sau 60 ngày ≥ 80%.</t>
  </si>
  <si>
    <t>BR-G-008</t>
  </si>
  <si>
    <t>Rút ngắn thời gian ghép đơn</t>
  </si>
  <si>
    <t>Nhờ gợi ý ghép đơn–chuyến tiện đường, giảm thời gian trung bình từ lúc đăng đơn đến lúc có người nhận xuống ≤ 45 phút.</t>
  </si>
  <si>
    <t>Thời gian trung bình OPEN→ASSIGNED của đơn có gợi ý ghép ≤ 45 phút.</t>
  </si>
  <si>
    <t>BR-G-009</t>
  </si>
  <si>
    <t>Bằng chứng giao nhận đầy đủ</t>
  </si>
  <si>
    <t>100% đơn hoàn tất có đủ bằng chứng giao nhận (ảnh lấy hàng, ảnh giao hàng và mã xác nhận OTP/QR hoặc ghi nhận ngoại lệ có lý do).</t>
  </si>
  <si>
    <t>UC-25, UC-28</t>
  </si>
  <si>
    <t>Truy vấn: không tồn tại đơn COMPLETED thiếu bằng chứng bắt buộc.</t>
  </si>
  <si>
    <t>BR-G-010</t>
  </si>
  <si>
    <t>Mức độ hài lòng</t>
  </si>
  <si>
    <t>Điểm hài lòng trung bình hai chiều (người gửi và người giao) đạt ≥ 4,5/5.</t>
  </si>
  <si>
    <t>Điểm trung bình các đánh giá hợp lệ trong 30 ngày ≥ 4,5.</t>
  </si>
  <si>
    <t>BR-G-011</t>
  </si>
  <si>
    <t>Rút tiền nhanh</t>
  </si>
  <si>
    <t>Xử lý ≥ 95% yêu cầu rút tiền hợp lệ trong thời hạn 1 ngày làm việc [PRM-064].</t>
  </si>
  <si>
    <t>Tỷ lệ yêu cầu WITHDRAWAL được trả trong SLA ≥ 95%.</t>
  </si>
  <si>
    <t>PRM-064</t>
  </si>
  <si>
    <t>BR-G-012</t>
  </si>
  <si>
    <t>An toàn tiền ký quỹ</t>
  </si>
  <si>
    <t>Không xảy ra thất thoát hoặc sai lệch tiền ký quỹ do lỗi hệ thống (chênh lệch đối soát bằng 0 sau mỗi chu kỳ).</t>
  </si>
  <si>
    <t>Báo cáo đối soát hằng ngày: tổng sổ cái = số dư ví + ký quỹ + quỹ nền tảng, chênh lệch = 0.</t>
  </si>
  <si>
    <t>BR-G-013</t>
  </si>
  <si>
    <t>Hoàn thành đồ án đúng hạn</t>
  </si>
  <si>
    <t>Hoàn thành nghiệm thu trong 12 tuần: 100% UC mức Must, ≥ 80% UC mức Should, bao phủ ReactJS, Spring Boot RESTful, JPA/Hibernate với SQL Server, Spring Security, MongoDB và DevOps theo đề cương SBA301.</t>
  </si>
  <si>
    <t>Kiểm tra theo ma trận truy vết UC–BR ở sheet 05; demo end-to-end vòng đời một đơn hàng.</t>
  </si>
  <si>
    <t>BR-G-014</t>
  </si>
  <si>
    <t>Giữ chân người giao</t>
  </si>
  <si>
    <t>Tỷ lệ người giao quay lại nhận đơn trong vòng 30 ngày kể từ đơn đầu tiên đạt ≥ 50%.</t>
  </si>
  <si>
    <t>UC-61, UC-62</t>
  </si>
  <si>
    <t>Tỷ lệ người giao có đơn thứ 2 trong 30 ngày kể từ đơn đầu ≥ 50%.</t>
  </si>
  <si>
    <t>Danh mục Use Case</t>
  </si>
  <si>
    <t>63 UC • luồng chính và ngoại lệ • BR liên quan tự động tổng hợp từ sheet 03 • giờ ước lượng, người phụ trách và sprint (nguồn cho sheet 13 và 14)</t>
  </si>
  <si>
    <t>Mã UC</t>
  </si>
  <si>
    <t>Tên Use Case</t>
  </si>
  <si>
    <t>Tác nhân chính</t>
  </si>
  <si>
    <t>Tác nhân phụ</t>
  </si>
  <si>
    <t>Tiền điều kiện</t>
  </si>
  <si>
    <t>Hậu điều kiện</t>
  </si>
  <si>
    <t>Luồng chính</t>
  </si>
  <si>
    <t>Luồng thay thế / ngoại lệ</t>
  </si>
  <si>
    <t>BR liên quan</t>
  </si>
  <si>
    <t>Số API</t>
  </si>
  <si>
    <t>Dev</t>
  </si>
  <si>
    <t>Sprint hoàn thành</t>
  </si>
  <si>
    <t>Tổng giờ</t>
  </si>
  <si>
    <t>Ngày bắt đầu</t>
  </si>
  <si>
    <t>Hạn chót</t>
  </si>
  <si>
    <t>Email/SĐT chưa có tài khoản.</t>
  </si>
  <si>
    <t>Tài khoản trạng thái Chờ xác thực được tạo; OTP đã gửi.</t>
  </si>
  <si>
    <t>1. Khách mở trang đăng ký
2. Nhập họ tên, email, SĐT, mật khẩu, xác nhận đủ 18 tuổi
3. Đồng ý Điều khoản và Chính sách dữ liệu
4. Hệ thống kiểm tra định dạng và trùng lặp
5. Hệ thống tạo tài khoản (băm mật khẩu), gán vai trò Người gửi
6. Hệ thống gửi OTP và chuyển sang UC-02</t>
  </si>
  <si>
    <t>• A1 Email/SĐT đã tồn tại: báo lỗi, gợi ý đăng nhập/quên mật khẩu
• A2 Mật khẩu không đạt: hiển thị yêu cầu
• A3 SĐT/CCCD thuộc danh sách đen: từ chối</t>
  </si>
  <si>
    <t>BR-F-001, BR-N-016, BR-N-030, BR-R-001, BR-R-002, BR-C-011, BR-C-022, BR-G-002</t>
  </si>
  <si>
    <t>SCR-03</t>
  </si>
  <si>
    <t>Xác thực OTP email/SĐT</t>
  </si>
  <si>
    <t>Có tài khoản Chờ xác thực hoặc yêu cầu xác thực mới.</t>
  </si>
  <si>
    <t>Tài khoản/kênh liên lạc được xác thực.</t>
  </si>
  <si>
    <t>1. Người dùng nhập OTP
2. Hệ thống kiểm tra mã, thời hạn, số lần thử
3. Hệ thống đánh dấu đã xác thực, kích hoạt tài khoản
4. Chuyển người dùng vào ứng dụng</t>
  </si>
  <si>
    <t>• A1 OTP sai: tăng đếm, báo lỗi
• A2 OTP hết hạn: cho gửi lại sau thời gian chờ
• A3 Quá số lần sai: vô hiệu OTP</t>
  </si>
  <si>
    <t>BR-F-002, BR-F-102, BR-R-003, BR-R-007</t>
  </si>
  <si>
    <t>SCR-04</t>
  </si>
  <si>
    <t>Đăng nhập</t>
  </si>
  <si>
    <t>Tài khoản tồn tại, không bị khóa.</t>
  </si>
  <si>
    <t>Phiên đăng nhập được tạo, trả Access/Refresh Token.</t>
  </si>
  <si>
    <t>1. Người dùng nhập tài khoản và mật khẩu
2. Hệ thống xác thực thông tin
3. Hệ thống kiểm tra trạng thái, số thiết bị
4. Hệ thống cấp token và trả thông tin vai trò
5. Giao diện điều hướng theo vai trò</t>
  </si>
  <si>
    <t>• A1 Sai thông tin: tăng đếm sai
• A2 Quá số lần sai: khóa tạm
• A3 Tài khoản bị khóa: thông báo lý do chung
• A4 Đăng nhập Google (Could)</t>
  </si>
  <si>
    <t>BR-F-003, BR-F-004, BR-N-024, BR-R-004, BR-R-005, BR-R-006, BR-C-005</t>
  </si>
  <si>
    <t>SCR-05</t>
  </si>
  <si>
    <t>Đăng xuất và quản lý phiên/thiết bị</t>
  </si>
  <si>
    <t>Đã đăng nhập.</t>
  </si>
  <si>
    <t>Phiên bị thu hồi.</t>
  </si>
  <si>
    <t>1. Người dùng chọn Đăng xuất hoặc mở danh sách thiết bị
2. Hệ thống hiển thị phiên đang hoạt động
3. Người dùng thu hồi phiên
4. Hệ thống vô hiệu refresh token của phiên</t>
  </si>
  <si>
    <t>• A1 Thu hồi phiên hiện tại: chuyển về trang đăng nhập</t>
  </si>
  <si>
    <t>BR-F-005, BR-R-005, BR-R-006</t>
  </si>
  <si>
    <t>SCR-12</t>
  </si>
  <si>
    <t>Tài khoản tồn tại.</t>
  </si>
  <si>
    <t>Mật khẩu mới có hiệu lực; mọi phiên cũ bị thu hồi.</t>
  </si>
  <si>
    <t>1. Người dùng nhập email/SĐT
2. Hệ thống gửi OTP
3. Người dùng nhập OTP và mật khẩu mới
4. Hệ thống cập nhật mật khẩu, thu hồi phiên
5. Thông báo bảo mật</t>
  </si>
  <si>
    <t>• A1 Email/SĐT không tồn tại: vẫn báo đã gửi (chống dò tài khoản)
• A2 OTP sai/hết hạn</t>
  </si>
  <si>
    <t>BR-F-006, BR-N-024, BR-R-002, BR-R-003</t>
  </si>
  <si>
    <t>SCR-06, SCR-07</t>
  </si>
  <si>
    <t>Mật khẩu được đổi.</t>
  </si>
  <si>
    <t>1. Người dùng nhập mật khẩu hiện tại và mật khẩu mới
2. Hệ thống kiểm tra
3. Hệ thống cập nhật và gửi thông báo bảo mật</t>
  </si>
  <si>
    <t>• A1 Sai mật khẩu hiện tại: từ chối
• A2 Mật khẩu mới không đạt quy tắc</t>
  </si>
  <si>
    <t>BR-F-007, BR-N-016, BR-R-002</t>
  </si>
  <si>
    <t>Quản lý hồ sơ cá nhân và sổ địa chỉ</t>
  </si>
  <si>
    <t>Hồ sơ/địa chỉ được cập nhật.</t>
  </si>
  <si>
    <t>1. Người dùng mở trang hồ sơ
2. Chỉnh sửa thông tin hoặc thêm/sửa/xóa địa chỉ trên bản đồ
3. Hệ thống kiểm tra và lưu
4. Nếu đổi email/SĐT, yêu cầu OTP xác thực lại</t>
  </si>
  <si>
    <t>• A1 Email thuộc miền FPT: cấp huy hiệu Cộng đồng FPT
• A2 Yêu cầu xuất dữ liệu/xóa tài khoản: tạo hồ sơ xử lý</t>
  </si>
  <si>
    <t>BR-F-004, BR-F-008, BR-F-009, BR-F-124, BR-N-040, BR-R-014</t>
  </si>
  <si>
    <t>SCR-10, SCR-11</t>
  </si>
  <si>
    <t>Gửi hồ sơ xác minh danh tính (KYC)</t>
  </si>
  <si>
    <t>Đã xác thực OTP.</t>
  </si>
  <si>
    <t>Hồ sơ KYC ở trạng thái Chờ duyệt.</t>
  </si>
  <si>
    <t>1. Người dùng mở màn hình xác minh
2. Nhập thông tin CCCD
3. Tải ảnh CCCD hai mặt và ảnh chân dung cầm CCCD
4. Hệ thống kiểm tra tệp, trùng CCCD, độ tuổi
5. Hệ thống mã hóa lưu và tạo hồ sơ chờ duyệt</t>
  </si>
  <si>
    <t>• A1 CCCD đã gắn tài khoản khác: từ chối, đánh dấu rà soát
• A2 Dưới 18 tuổi: từ chối
• A3 Vượt số lần nộp lại cho phép</t>
  </si>
  <si>
    <t>BR-F-010, BR-F-123, BR-N-018, BR-N-023, BR-R-010, BR-R-011, BR-C-011, BR-G-002</t>
  </si>
  <si>
    <t>SCR-13</t>
  </si>
  <si>
    <t>Duyệt hồ sơ xác minh</t>
  </si>
  <si>
    <t>Có hồ sơ Chờ duyệt.</t>
  </si>
  <si>
    <t>Hồ sơ Đã duyệt hoặc Từ chối kèm lý do.</t>
  </si>
  <si>
    <t>1. Kiểm duyệt mở hàng đợi KYC
2. Xem ảnh và thông tin đối chiếu
3. Chọn Duyệt hoặc Từ chối (chọn lý do)
4. Hệ thống cập nhật trạng thái, ghi audit
5. Hệ thống thông báo người dùng</t>
  </si>
  <si>
    <t>• A1 Nghi ngờ gian lận: đánh dấu và chuyển Admin
• A2 Quá SLA: hệ thống cảnh báo</t>
  </si>
  <si>
    <t>BR-F-011, BR-R-011, BR-R-012, BR-R-082, BR-R-084</t>
  </si>
  <si>
    <t>SCR-50</t>
  </si>
  <si>
    <t>KYC đã duyệt.</t>
  </si>
  <si>
    <t>Tài khoản có vai trò Người giao.</t>
  </si>
  <si>
    <t>1. Người dùng chọn Trở thành Người giao
2. Chọn phương tiện, khu vực, khung giờ
3. Đọc và xác nhận cam kết trách nhiệm
4. Hệ thống gán vai trò Người giao, hạng Tân binh
5. Giao diện cho phép chuyển chế độ</t>
  </si>
  <si>
    <t>• A1 KYC chưa duyệt: hướng dẫn đi UC-08</t>
  </si>
  <si>
    <t>BR-F-012, BR-F-013, BR-R-009, BR-C-022, BR-G-002</t>
  </si>
  <si>
    <t>SCR-14</t>
  </si>
  <si>
    <t>Ước tính giá và phí</t>
  </si>
  <si>
    <t>Dịch vụ Bản đồ</t>
  </si>
  <si>
    <t>Có điểm lấy, điểm giao, thông tin hàng.</t>
  </si>
  <si>
    <t>Hiển thị giá gợi ý và cấu thành phí.</t>
  </si>
  <si>
    <t>1. Người gửi nhập điểm lấy và điểm giao
2. Hệ thống tính quãng đường
3. Người gửi nhập khối lượng, kích thước, mức khẩn cấp, bảo hiểm
4. Hệ thống tính giá gợi ý theo công thức
5. Hiển thị bảng cấu thành phí</t>
  </si>
  <si>
    <t>• A1 Dịch vụ định tuyến lỗi: dùng khoảng cách dự phòng và đánh dấu ước tính
• A2 Vượt giới hạn tuyến/hàng: thông báo</t>
  </si>
  <si>
    <t>BR-F-014, BR-F-015, BR-F-018, BR-F-086, BR-F-122, BR-N-014, BR-R-017, BR-R-063, BR-R-065, BR-R-066, BR-R-068, BR-C-021, BR-G-001</t>
  </si>
  <si>
    <t>SCR-01, SCR-02, SCR-17</t>
  </si>
  <si>
    <t>Tạo đơn giao hàng</t>
  </si>
  <si>
    <t>Đã xác thực OTP, không bị khóa, chưa vượt số đơn mở.</t>
  </si>
  <si>
    <t>Đơn được tạo ở trạng thái Chờ kiểm duyệt hoặc Đang mở.</t>
  </si>
  <si>
    <t>1. Người gửi chọn Tạo đơn
2. Chọn điểm lấy/giao
3. Khai báo hàng, tải ảnh, nhập người nhận
4. Chọn tùy chọn giao và cách tìm người giao
5. Xem giá và xác nhận đăng
6. Hệ thống kiểm tra giới hạn, sinh mã vận đơn
7. Hệ thống chạy kiểm duyệt tự động (UC-54)
8. Hệ thống đưa đơn lên sàn hoặc chuyển Kiểm duyệt</t>
  </si>
  <si>
    <t>• A1 Vượt giới hạn hàng: chặn và nêu lý do
• A2 Lưu nháp: đơn chưa lên sàn
• A3 Đơn vi phạm từ khóa: chờ kiểm duyệt</t>
  </si>
  <si>
    <t>BR-F-009, BR-F-015, BR-F-016, BR-F-017, BR-F-018, BR-F-019, BR-F-020, BR-F-025, BR-F-122, BR-F-123, BR-N-002, BR-N-023, BR-N-027, BR-N-030, BR-R-007, BR-R-015, BR-R-016, BR-R-017, BR-R-018, BR-R-019, BR-R-020, BR-R-023, BR-R-026, BR-R-080, BR-C-012, BR-C-020, BR-G-001</t>
  </si>
  <si>
    <t>SCR-17</t>
  </si>
  <si>
    <t>Xem danh sách và chi tiết đơn của tôi</t>
  </si>
  <si>
    <t>Hiển thị dữ liệu đơn thuộc quyền.</t>
  </si>
  <si>
    <t>1. Người dùng mở Đơn của tôi
2. Lọc theo trạng thái/thời gian, tìm theo mã
3. Chọn một đơn
4. Hệ thống hiển thị chi tiết, người giao, giá, bằng chứng, timeline</t>
  </si>
  <si>
    <t>• A1 Truy cập đơn không thuộc quyền: 403/404</t>
  </si>
  <si>
    <t>BR-F-020, BR-F-021, BR-F-022, BR-F-025, BR-N-001, BR-N-020, BR-N-031, BR-R-023, BR-R-045</t>
  </si>
  <si>
    <t>SCR-16, SCR-18, SCR-19, SCR-31</t>
  </si>
  <si>
    <t>Đơn ở Chờ kiểm duyệt/Đang mở, chưa có chào giá được chấp nhận.</t>
  </si>
  <si>
    <t>Đơn được cập nhật; chào giá bị ảnh hưởng được hủy.</t>
  </si>
  <si>
    <t>1. Người gửi chọn Sửa đơn
2. Chỉnh thông tin
3. Hệ thống cảnh báo ảnh hưởng đến chào giá
4. Người gửi xác nhận
5. Hệ thống lưu, kiểm duyệt lại nếu cần, thông báo người đã chào giá</t>
  </si>
  <si>
    <t>• A1 Đơn đã có người giao: không cho sửa</t>
  </si>
  <si>
    <t>BR-F-023, BR-R-019, BR-R-021</t>
  </si>
  <si>
    <t>SCR-20</t>
  </si>
  <si>
    <t>Đơn chưa ở trạng thái Đã lấy hàng.</t>
  </si>
  <si>
    <t>Đơn Đã hủy; tiền xử lý theo quy tắc hủy.</t>
  </si>
  <si>
    <t>1. Người dùng chọn Hủy đơn
2. Hệ thống hiển thị phí hủy và số tiền hoàn
3. Người dùng nhập lý do và xác nhận
4. Hệ thống cập nhật trạng thái, thực hiện hoàn tiền (UC-37), thông báo bên còn lại</t>
  </si>
  <si>
    <t>• A1 Người giao hủy: trừ điểm uy tín, đơn quay về sàn
• A2 Đơn đã lấy hàng: hướng dẫn UC-29/UC-30</t>
  </si>
  <si>
    <t>BR-F-024, BR-R-022, BR-R-075</t>
  </si>
  <si>
    <t>Duyệt và tìm kiếm sàn đơn</t>
  </si>
  <si>
    <t>Người giao đã được duyệt.</t>
  </si>
  <si>
    <t>Hiển thị danh sách đơn đủ điều kiện.</t>
  </si>
  <si>
    <t>1. Người giao mở Sàn đơn
2. Hệ thống hiển thị đơn Đang mở (ẩn thông tin nhạy cảm)
3. Người giao lọc/sắp xếp hoặc xem bản đồ
4. Chọn một đơn để xem chi tiết</t>
  </si>
  <si>
    <t>• A1 Không có đơn phù hợp: gợi ý đăng ký thông báo khu vực</t>
  </si>
  <si>
    <t>BR-F-026, BR-F-027, BR-F-028, BR-F-035, BR-N-001, BR-N-006, BR-N-031, BR-R-024, BR-R-027, BR-G-003</t>
  </si>
  <si>
    <t>SCR-28, SCR-29</t>
  </si>
  <si>
    <t>Nhận đơn (giá niêm yết)</t>
  </si>
  <si>
    <t>Đơn Đang mở; người giao đủ điều kiện hạng/hạn mức.</t>
  </si>
  <si>
    <t>Đơn chuyển Chờ ký quỹ, gắn người giao.</t>
  </si>
  <si>
    <t>1. Người giao chọn Nhận đơn
2. Hệ thống kiểm tra KYC, hạn mức, hạng, giá trị cao
3. Hệ thống khóa đơn cho người giao (xử lý tranh chấp đồng thời)
4. Hệ thống chuyển trạng thái, thông báo người gửi để ký quỹ</t>
  </si>
  <si>
    <t>• A1 Người khác đã nhận: báo đơn không còn khả dụng
• A2 Vượt hạn mức: từ chối kèm lý do</t>
  </si>
  <si>
    <t>BR-F-029, BR-N-027, BR-R-008, BR-R-009, BR-R-024, BR-R-025, BR-R-028, BR-G-003</t>
  </si>
  <si>
    <t>SCR-30</t>
  </si>
  <si>
    <t>Đơn Đang mở; người giao đủ điều kiện.</t>
  </si>
  <si>
    <t>Chào giá ở trạng thái Chờ phản hồi.</t>
  </si>
  <si>
    <t>1. Người giao nhập giá chào, lời nhắn, thời gian lấy dự kiến
2. Hệ thống kiểm tra biên giá
3. Hệ thống lưu chào giá (thay thế chào giá cũ nếu có)
4. Thông báo người gửi</t>
  </si>
  <si>
    <t>• A1 Giá ngoài biên: từ chối</t>
  </si>
  <si>
    <t>BR-F-030, BR-N-002, BR-R-008, BR-R-009, BR-R-028, BR-R-029, BR-R-030, BR-G-003</t>
  </si>
  <si>
    <t>Xử lý chào giá (chấp nhận, từ chối, phản giá)</t>
  </si>
  <si>
    <t>Đơn có chào giá hiệu lực.</t>
  </si>
  <si>
    <t>Chào giá được chấp nhận/từ chối/phản giá.</t>
  </si>
  <si>
    <t>1. Người gửi mở danh sách chào giá
2. So sánh giá, hạng, điểm uy tín
3. Chọn chấp nhận, từ chối hoặc phản giá
4. Nếu chấp nhận: chốt người giao, từ chối các chào giá khác, đơn sang Chờ ký quỹ
5. Thông báo các bên</t>
  </si>
  <si>
    <t>• A1 Phản giá: người giao có thể chấp nhận hoặc phản giá lại theo giới hạn vòng
• A2 Chào giá hết hạn: tự động Hết hạn</t>
  </si>
  <si>
    <t>BR-F-031, BR-F-032, BR-F-086, BR-F-094, BR-R-025, BR-R-029, BR-R-031, BR-R-032</t>
  </si>
  <si>
    <t>SCR-21</t>
  </si>
  <si>
    <t>Mời trực tiếp người giao</t>
  </si>
  <si>
    <t>Người gửi có đơn Đang mở hoặc đang tạo.</t>
  </si>
  <si>
    <t>Lời mời được gửi.</t>
  </si>
  <si>
    <t>1. Người gửi chọn người giao yêu thích hoặc tìm theo mã
2. Gửi lời mời kèm đơn
3. Người giao nhận thông báo, chấp nhận hoặc từ chối</t>
  </si>
  <si>
    <t>• A1 Lời mời hết hạn: đơn lên sàn công khai</t>
  </si>
  <si>
    <t>BR-F-019, BR-F-033</t>
  </si>
  <si>
    <t>Người giao, Người gửi</t>
  </si>
  <si>
    <t>Có chuyến đi và đơn đang mở.</t>
  </si>
  <si>
    <t>Danh sách gợi ý được tạo và hiển thị.</t>
  </si>
  <si>
    <t>1. Hệ thống tải chuyến đi và đơn mở
2. Tính khoảng cách lệch tuyến và độ phù hợp thời gian
3. Chấm điểm phù hợp và xếp hạng
4. Hiển thị gợi ý cho người giao và người gửi
5. Cho phép nhận hoặc chào giá nhanh</t>
  </si>
  <si>
    <t>• A1 Không có đơn trong độ lệch cho phép: không gợi ý</t>
  </si>
  <si>
    <t>BR-F-034, BR-F-038, BR-N-008, BR-R-036, BR-G-008</t>
  </si>
  <si>
    <t>SCR-34</t>
  </si>
  <si>
    <t>Chuyến đi được tạo.</t>
  </si>
  <si>
    <t>1. Người giao nhập điểm đi, điểm đến, giờ khởi hành
2. Chọn phương tiện, sức chứa, giá sàn
3. Hệ thống tính tuyến đường
4. Lưu chuyến và kích hoạt gợi ý ghép</t>
  </si>
  <si>
    <t>• A1 Chuyến định kỳ (Could): sinh các lần khởi hành</t>
  </si>
  <si>
    <t>BR-F-036, BR-F-037, BR-F-038, BR-R-035, BR-G-008</t>
  </si>
  <si>
    <t>SCR-33</t>
  </si>
  <si>
    <t>Có chuyến đi.</t>
  </si>
  <si>
    <t>Chuyến được cập nhật/hủy/kết thúc.</t>
  </si>
  <si>
    <t>1. Người giao mở danh sách chuyến
2. Sửa, tạm dừng nhận đơn, hủy hoặc kết thúc
3. Hệ thống kiểm tra quy tắc chuyến có đơn</t>
  </si>
  <si>
    <t>• A1 Chuyến có đơn đã chọn: không hủy trực tiếp</t>
  </si>
  <si>
    <t>BR-F-039, BR-F-040, BR-R-037</t>
  </si>
  <si>
    <t>Đơn có chào giá hoặc đã có người giao.</t>
  </si>
  <si>
    <t>Tin nhắn được gửi và lưu.</t>
  </si>
  <si>
    <t>1. Người dùng mở phòng chat của đơn
2. Hệ thống nạp lịch sử
3. Người dùng gửi tin nhắn hoặc ảnh
4. Hệ thống kiểm tra mẫu thông tin liên hệ, lưu MongoDB, đẩy cho bên kia
5. Cập nhật đã đọc</t>
  </si>
  <si>
    <t>• A1 Tin nhắn chứa SĐT/tài khoản trước khi chọn người giao: che và cảnh báo
• A2 Báo cáo tin nhắn: UC-55</t>
  </si>
  <si>
    <t>BR-F-041, BR-F-042, BR-F-043, BR-F-044, BR-F-045, BR-N-011, BR-R-033, BR-R-034, BR-C-004</t>
  </si>
  <si>
    <t>SCR-38</t>
  </si>
  <si>
    <t>Xác nhận lấy hàng (QR + ảnh)</t>
  </si>
  <si>
    <t>Đơn Đã ký quỹ.</t>
  </si>
  <si>
    <t>Đơn chuyển Đã lấy hàng.</t>
  </si>
  <si>
    <t>1. Người giao đến điểm lấy, mở Lấy hàng
2. Người gửi hiển thị mã QR lấy hàng
3. Người giao quét/nhập mã
4. Người giao chụp ảnh hàng
5. Hệ thống chuyển trạng thái, bắt đầu chia sẻ vị trí, thông báo</t>
  </si>
  <si>
    <t>• A1 Mã sai/hết hạn: làm mới mã
• A2 Quá hạn lấy hàng: hệ thống xử lý theo UC-63</t>
  </si>
  <si>
    <t>BR-F-046, BR-F-047, BR-F-123, BR-N-023, BR-R-038, BR-G-009</t>
  </si>
  <si>
    <t>SCR-24, SCR-32</t>
  </si>
  <si>
    <t>Chia sẻ vị trí và cập nhật hành trình</t>
  </si>
  <si>
    <t>Đơn Đã lấy hàng/Đang giao.</t>
  </si>
  <si>
    <t>Điểm vị trí và mốc hành trình được lưu.</t>
  </si>
  <si>
    <t>1. Người giao cấp quyền vị trí
2. Ứng dụng gửi vị trí theo chu kỳ
3. Hệ thống lưu MongoDB và đẩy tới người theo dõi
4. Người giao cập nhật mốc Đang giao, Đã đến điểm giao</t>
  </si>
  <si>
    <t>• A1 Không có quyền vị trí: chặn chuyển trạng thái và hướng dẫn
• A2 Mất mạng: gửi bù khi có lại
• A3 Đứng yên/lệch tuyến: cảnh báo (Could)</t>
  </si>
  <si>
    <t>BR-F-048, BR-F-049, BR-F-056, BR-N-007, BR-R-041, BR-C-017</t>
  </si>
  <si>
    <t>SCR-32</t>
  </si>
  <si>
    <t>Đơn đang giao hoặc có liên kết theo dõi.</t>
  </si>
  <si>
    <t>Hiển thị vị trí, timeline, ETA.</t>
  </si>
  <si>
    <t>1. Người gửi hoặc người nhận mở màn hình theo dõi
2. Hệ thống nạp timeline và vị trí gần nhất
3. Nhận cập nhật qua WebSocket
4. Hiển thị bản đồ, ETA, trạng thái</t>
  </si>
  <si>
    <t>• A1 Người nhận mở liên kết công khai: chỉ thấy thông tin tối thiểu
• A2 Liên kết hết hạn: thông báo</t>
  </si>
  <si>
    <t>BR-F-022, BR-F-050, BR-F-051, BR-F-062, BR-F-122, BR-N-007, BR-N-011, BR-R-042, BR-C-004</t>
  </si>
  <si>
    <t>SCR-09, SCR-23</t>
  </si>
  <si>
    <t>Xác nhận giao hàng (OTP/QR + ảnh)</t>
  </si>
  <si>
    <t>Đơn Đang giao, người giao đã đến điểm giao.</t>
  </si>
  <si>
    <t>Đơn Đã giao; bắt đầu đếm giải ngân.</t>
  </si>
  <si>
    <t>1. Hệ thống gửi OTP cho người nhận
2. Người nhận đưa OTP hoặc QR
3. Người giao nhập/quét và chụp ảnh giao
4. Hệ thống kiểm tra, chuyển Đã giao, ngừng chia sẻ vị trí
5. Thông báo người gửi và đặt lịch giải ngân</t>
  </si>
  <si>
    <t>• A1 OTP sai: tăng đếm, khóa khi quá số lần
• A2 Người nhận không có OTP: giao ngoại lệ kèm ảnh, tọa độ, lý do
• A3 Người nhận vắng: UC-30</t>
  </si>
  <si>
    <t>BR-F-052, BR-F-053, BR-F-103, BR-F-123, BR-N-027, BR-R-039, BR-R-040, BR-G-004, BR-G-009</t>
  </si>
  <si>
    <t>Người gửi, Kiểm duyệt</t>
  </si>
  <si>
    <t>Đơn đã Đã lấy hàng/Đang giao.</t>
  </si>
  <si>
    <t>Sự cố được ghi nhận, các bên được thông báo.</t>
  </si>
  <si>
    <t>1. Người giao chọn Báo sự cố
2. Chọn loại sự cố, mô tả, ảnh
3. Hệ thống ghi vào timeline
4. Thông báo người gửi và Kiểm duyệt</t>
  </si>
  <si>
    <t>• A1 SOS khẩn cấp: cảnh báo ưu tiên kèm vị trí</t>
  </si>
  <si>
    <t>BR-F-054, BR-F-110</t>
  </si>
  <si>
    <t>Đơn Đang giao; không giao được.</t>
  </si>
  <si>
    <t>Đơn Đang hoàn rồi Đã hoàn hàng.</t>
  </si>
  <si>
    <t>1. Người giao ghi nhận không liên lạc được người nhận
2. Hệ thống kiểm tra bằng chứng liên hệ
3. Đơn chuyển Giao thất bại rồi Đang hoàn
4. Người giao trả hàng, người gửi xác nhận bằng mã
5. Hệ thống tính phí giao và phí hoàn</t>
  </si>
  <si>
    <t>• A1 Người nhận liên lạc lại: tiếp tục giao</t>
  </si>
  <si>
    <t>BR-F-055, BR-R-044</t>
  </si>
  <si>
    <t>Gộp đơn và gợi ý lộ trình</t>
  </si>
  <si>
    <t>Người giao có từ 2 đơn trở lên.</t>
  </si>
  <si>
    <t>Lượt giao gộp được tạo.</t>
  </si>
  <si>
    <t>1. Người giao chọn các đơn cùng tuyến
2. Hệ thống kiểm tra giới hạn gộp
3. Hệ thống tính thứ tự điểm dừng
4. Người giao xác nhận lộ trình</t>
  </si>
  <si>
    <t>• A1 Vượt giới hạn số đơn/sức chứa: từ chối</t>
  </si>
  <si>
    <t>BR-F-057, BR-F-058, BR-R-046</t>
  </si>
  <si>
    <t>SCR-36</t>
  </si>
  <si>
    <t>Tạo đơn giao tiếp sức</t>
  </si>
  <si>
    <t>Tuyến đủ dài và đủ điều kiện chia chặng.</t>
  </si>
  <si>
    <t>Đơn có nhiều chặng ở trạng thái Đang mở theo chặng.</t>
  </si>
  <si>
    <t>1. Người gửi chọn Giao tiếp sức
2. Hệ thống đề xuất điểm bàn giao và chặng
3. Người gửi xác nhận, hệ thống chia phí theo quãng đường
4. Mỗi chặng lên sàn riêng</t>
  </si>
  <si>
    <t>• A1 Không đủ người giao cho chặng: giữ đơn mở</t>
  </si>
  <si>
    <t>BR-F-059, BR-F-062, BR-R-047</t>
  </si>
  <si>
    <t>Đơn tiếp sức có chặng kế tiếp.</t>
  </si>
  <si>
    <t>Trách nhiệm chuyển sang người giao kế tiếp.</t>
  </si>
  <si>
    <t>1. Hai người giao gặp nhau tại điểm hẹn
2. Người giao kế tiếp quét QR bàn giao
3. Hai bên chụp ảnh hàng
4. Hệ thống xác nhận, bắt đầu chặng tiếp theo</t>
  </si>
  <si>
    <t>• A1 QR hết hạn: làm mới
• A2 Bàn giao không thành: sự cố</t>
  </si>
  <si>
    <t>BR-F-060, BR-F-061, BR-R-048</t>
  </si>
  <si>
    <t>Đã xác thực OTP; không vượt số dư tối đa.</t>
  </si>
  <si>
    <t>Giao dịch nạp tạo; ví tăng khi IPN thành công.</t>
  </si>
  <si>
    <t>1. Người dùng chọn Nạp tiền và nhập số tiền
2. Hệ thống kiểm tra hạn mức, tạo giao dịch và liên kết có chữ ký
3. Chuyển người dùng sang VNPay
4. Người dùng thanh toán
5. VNPay gọi IPN (UC-42) và chuyển người dùng về Return URL
6. Hệ thống hiển thị kết quả theo dữ liệu đã xác minh</t>
  </si>
  <si>
    <t>• A1 Người dùng hủy/đóng trang: giao dịch hết hạn
• A2 Thanh toán thất bại: hiển thị lý do
• A3 IPN đến trễ: dùng truy vấn kết quả</t>
  </si>
  <si>
    <t>BR-F-063, BR-F-064, BR-F-065, BR-F-071, BR-N-003, BR-N-014, BR-R-007, BR-R-050, BR-R-051, BR-R-052, BR-C-006, BR-C-019</t>
  </si>
  <si>
    <t>SCR-42, SCR-43</t>
  </si>
  <si>
    <t>Đơn Chờ ký quỹ, trong thời gian giữ chỗ.</t>
  </si>
  <si>
    <t>Tiền ký quỹ được giữ; đơn Đã ký quỹ.</t>
  </si>
  <si>
    <t>1. Người gửi xem số tiền cần ký quỹ, áp mã (nếu có)
2. Chọn thanh toán bằng ví hoặc VNPay trực tiếp
3. Hệ thống kiểm tra số dư/tạo giao dịch VNPay
4. Hệ thống ghi bút toán ký quỹ
5. Đơn chuyển Đã ký quỹ, thông báo người giao</t>
  </si>
  <si>
    <t>• A1 Ví không đủ: gợi ý nạp thêm hoặc VNPay
• A2 Hết thời gian giữ chỗ: đơn về Đang mở
• A3 VNPay thất bại: cho thử lại trong thời hạn</t>
  </si>
  <si>
    <t>BR-F-064, BR-F-070, BR-F-071, BR-F-072, BR-F-086, BR-N-003, BR-N-021, BR-N-039, BR-R-031, BR-R-052, BR-R-053, BR-R-068, BR-C-006, BR-C-009, BR-G-012</t>
  </si>
  <si>
    <t>SCR-22, SCR-43</t>
  </si>
  <si>
    <t>UC-36</t>
  </si>
  <si>
    <t>Giải ngân cho người giao</t>
  </si>
  <si>
    <t>Đơn Đã giao và thỏa điều kiện giải ngân.</t>
  </si>
  <si>
    <t>Thu nhập vào ví người giao; hoa hồng và quỹ được ghi nhận.</t>
  </si>
  <si>
    <t>1. Hệ thống xác định điều kiện giải ngân
2. Tính hoa hồng theo hạng đã khóa và phần trích quỹ
3. Ghi bút toán giải ngân
4. Đơn chuyển Hoàn tất, tạo biên lai
5. Thông báo người giao</t>
  </si>
  <si>
    <t>• A1 Có khiếu nại: dừng, đóng băng
• A2 Người giao bị khóa: giữ tiền chờ Admin</t>
  </si>
  <si>
    <t>BR-F-073, BR-F-074, BR-N-021, BR-N-039, BR-R-040, BR-R-054, BR-R-055, BR-R-063, BR-R-064, BR-R-067, BR-C-010, BR-G-006, BR-G-012</t>
  </si>
  <si>
    <t>Hoàn tiền</t>
  </si>
  <si>
    <t>Người gửi, VNPay</t>
  </si>
  <si>
    <t>Đơn bị hủy/hết hạn/giao thất bại do người giao.</t>
  </si>
  <si>
    <t>Tiền được hoàn vào ví hoặc về nguồn VNPay.</t>
  </si>
  <si>
    <t>1. Hệ thống xác định số tiền hoàn theo quy tắc
2. Ghi bút toán hoàn vào ví người gửi
3. Nếu người dùng yêu cầu hoàn về nguồn: gọi API hoàn tiền VNPay
4. Theo dõi kết quả, cập nhật trạng thái
5. Thông báo người gửi</t>
  </si>
  <si>
    <t>• A1 VNPay từ chối hoàn: giữ tiền ở ví, báo Admin
• A2 Giao dịch gốc không phải VNPay: chỉ hoàn ví</t>
  </si>
  <si>
    <t>BR-F-075, BR-F-076, BR-N-021, BR-R-022, BR-R-043, BR-R-044, BR-R-056, BR-C-007</t>
  </si>
  <si>
    <t>Xem ví và lịch sử giao dịch</t>
  </si>
  <si>
    <t>Hiển thị số dư và giao dịch.</t>
  </si>
  <si>
    <t>1. Người dùng mở Ví
2. Hệ thống hiển thị số dư khả dụng, đang ký quỹ, chờ rút
3. Người dùng lọc lịch sử, xem chi tiết
4. Xuất sao kê (tùy chọn)</t>
  </si>
  <si>
    <t>• A1 Số liệu lệch sổ cái: cảnh báo Admin</t>
  </si>
  <si>
    <t>BR-F-068, BR-F-069, BR-N-020, BR-R-049, BR-C-009</t>
  </si>
  <si>
    <t>SCR-41, SCR-44</t>
  </si>
  <si>
    <t>Tài khoản ngân hàng được liên kết.</t>
  </si>
  <si>
    <t>1. Người giao nhập ngân hàng, số tài khoản, tên chủ tài khoản
2. Hệ thống đối chiếu tên với KYC
3. Hệ thống mã hóa lưu, đặt thời gian chờ
4. Hiển thị số đã che</t>
  </si>
  <si>
    <t>• A1 Tên không khớp KYC: từ chối</t>
  </si>
  <si>
    <t>BR-F-077, BR-N-018, BR-R-013, BR-R-058</t>
  </si>
  <si>
    <t>SCR-45</t>
  </si>
  <si>
    <t>KYC đã duyệt, có tài khoản ngân hàng hết thời gian chờ, số dư khả dụng ≥ ngưỡng.</t>
  </si>
  <si>
    <t>Yêu cầu rút tạo, tiền chuyển sang chờ rút.</t>
  </si>
  <si>
    <t>1. Người giao mở Rút tiền, nhập số tiền
2. Hệ thống kiểm tra hạn mức, số lần rút, phí
3. Hiển thị số tiền thực nhận, người giao xác nhận (OTP)
4. Hệ thống chuyển tiền sang chờ rút, tạo yêu cầu
5. Thông báo đã tiếp nhận</t>
  </si>
  <si>
    <t>• A1 Số dư dưới ngưỡng: không cho tạo
• A2 Đang có yêu cầu chờ xử lý: từ chối
• A3 Người giao hủy yêu cầu khi chưa duyệt: hoàn ví</t>
  </si>
  <si>
    <t>BR-F-078, BR-N-021, BR-R-013, BR-R-057, BR-R-058, BR-R-059, BR-R-061, BR-C-008, BR-G-011</t>
  </si>
  <si>
    <t>SCR-46</t>
  </si>
  <si>
    <t>Duyệt và chi trả rút tiền</t>
  </si>
  <si>
    <t>Dịch vụ chi trả</t>
  </si>
  <si>
    <t>Có yêu cầu rút chờ xử lý.</t>
  </si>
  <si>
    <t>Yêu cầu Đã chi hoặc Từ chối.</t>
  </si>
  <si>
    <t>1. Admin mở hàng đợi rút tiền
2. Xem thông tin đối chiếu
3. Duyệt hoặc từ chối (hai cấp khi vượt ngưỡng)
4. Hệ thống gọi PayoutProvider hoặc xuất lệnh chi
5. Admin nhập mã tham chiếu hoặc nhận kết quả
6. Hệ thống cập nhật Đã chi, thông báo người dùng</t>
  </si>
  <si>
    <t>• A1 Từ chối: hoàn tiền về ví khả dụng
• A2 Chi thất bại: hoàn ví, ghi nguyên nhân
• A3 Cùng Admin duyệt hai cấp: chặn</t>
  </si>
  <si>
    <t>BR-F-079, BR-F-080, BR-F-081, BR-R-060, BR-R-061, BR-C-008, BR-G-011</t>
  </si>
  <si>
    <t>SCR-54</t>
  </si>
  <si>
    <t>Xử lý IPN và kết quả từ VNPay</t>
  </si>
  <si>
    <t>Giao dịch VNPay đã tạo.</t>
  </si>
  <si>
    <t>Giao dịch chốt trạng thái cuối; ví/ký quỹ cập nhật.</t>
  </si>
  <si>
    <t>1. VNPay gọi endpoint IPN
2. Hệ thống xác minh chữ ký
3. Đối chiếu mã tham chiếu và số tiền
4. Cập nhật giao dịch và ghi sổ cái idempotent
5. Phản hồi theo định dạng VNPay</t>
  </si>
  <si>
    <t>• A1 Sai chữ ký: từ chối, ghi cảnh báo
• A2 IPN trùng: phản hồi đã xử lý, không ghi lại
• A3 Số tiền lệch: không ghi nhận, báo Admin
• A4 Giao dịch treo: job truy vấn kết quả</t>
  </si>
  <si>
    <t>BR-F-066, BR-F-067, BR-N-004, BR-N-021, BR-N-022, BR-R-051, BR-C-006</t>
  </si>
  <si>
    <t>Đối soát giao dịch hằng ngày</t>
  </si>
  <si>
    <t>Có giao dịch trong ngày.</t>
  </si>
  <si>
    <t>Báo cáo đối soát được tạo.</t>
  </si>
  <si>
    <t>1. Hệ thống lấy giao dịch nội bộ ngày hôm trước
2. Truy vấn trạng thái các giao dịch VNPay cần xác minh
3. So khớp với sổ cái
4. Tạo báo cáo khớp/lệch
5. Admin xử lý chênh lệch bằng bút toán điều chỉnh</t>
  </si>
  <si>
    <t>• A1 Có chênh lệch: cảnh báo Admin, không tự điều chỉnh</t>
  </si>
  <si>
    <t>BR-F-082, BR-F-083, BR-F-084, BR-N-015, BR-N-039, BR-R-062, BR-G-012</t>
  </si>
  <si>
    <t>SCR-55</t>
  </si>
  <si>
    <t>Đơn Chờ ký quỹ.</t>
  </si>
  <si>
    <t>Số tiền giảm được áp dụng.</t>
  </si>
  <si>
    <t>1. Người gửi nhập mã
2. Hệ thống kiểm tra điều kiện mã
3. Hiển thị số tiền giảm và tổng mới</t>
  </si>
  <si>
    <t>• A1 Mã hết hạn/hết lượt/không đủ điều kiện: báo lý do</t>
  </si>
  <si>
    <t>BR-F-087, BR-R-069</t>
  </si>
  <si>
    <t>SCR-22</t>
  </si>
  <si>
    <t>Admin đã đăng nhập.</t>
  </si>
  <si>
    <t>Mã khuyến mãi được tạo/sửa/tạm dừng.</t>
  </si>
  <si>
    <t>1. Admin tạo mã: giá trị, hạn dùng, số lượt, đối tượng
2. Hệ thống lưu và kích hoạt
3. Theo dõi số lượt dùng</t>
  </si>
  <si>
    <t>• A1 Trùng mã: từ chối</t>
  </si>
  <si>
    <t>BR-F-088, BR-R-069</t>
  </si>
  <si>
    <t>SCR-59</t>
  </si>
  <si>
    <t>Cấu hình tham số hệ thống và biểu phí</t>
  </si>
  <si>
    <t>Admin có quyền.</t>
  </si>
  <si>
    <t>Tham số được cập nhật, có lịch sử.</t>
  </si>
  <si>
    <t>1. Admin mở trang tham số
2. Chỉnh giá trị, xem mô phỏng ảnh hưởng
3. Xác nhận
4. Hệ thống lưu phiên bản mới, ghi audit
5. Có hiệu lực cho đơn tạo sau</t>
  </si>
  <si>
    <t>• A1 Giá trị ngoài biên cho phép: từ chối</t>
  </si>
  <si>
    <t>BR-F-085, BR-F-089, BR-R-055, BR-R-067, BR-R-083, BR-G-006</t>
  </si>
  <si>
    <t>SCR-57</t>
  </si>
  <si>
    <t>Đơn Hoàn tất, trong thời hạn đánh giá.</t>
  </si>
  <si>
    <t>Đánh giá được ghi nhận.</t>
  </si>
  <si>
    <t>1. Người dùng mở đánh giá của đơn
2. Chọn số sao, thẻ nhận xét, viết nội dung
3. Hệ thống lưu và ẩn đến khi bên kia gửi/hết hạn
4. Cập nhật số liệu điểm</t>
  </si>
  <si>
    <t>• A1 Quá hạn: không cho đánh giá</t>
  </si>
  <si>
    <t>BR-F-090, BR-N-002, BR-R-008, BR-R-070, BR-R-071, BR-G-010</t>
  </si>
  <si>
    <t>SCR-25</t>
  </si>
  <si>
    <t>Hiển thị hồ sơ công khai.</t>
  </si>
  <si>
    <t>1. Người dùng chọn xem người giao
2. Hệ thống hiển thị hạng, điểm, số đơn, tỷ lệ đúng hạn, huy hiệu, đánh giá
3. Người được đánh giá phản hồi (Could)</t>
  </si>
  <si>
    <t>• A1 Hồ sơ bị khóa: hiển thị trạng thái hạn chế</t>
  </si>
  <si>
    <t>BR-F-031, BR-F-091, BR-F-093, BR-R-071</t>
  </si>
  <si>
    <t>SCR-15</t>
  </si>
  <si>
    <t>Tính điểm uy tín và xếp hạng</t>
  </si>
  <si>
    <t>Có dữ liệu đơn và đánh giá.</t>
  </si>
  <si>
    <t>Điểm và hạng được cập nhật.</t>
  </si>
  <si>
    <t>1. Hệ thống tổng hợp chỉ số theo từng người giao
2. Tính điểm theo trọng số
3. Xác định hạng và quyền lợi
4. Lưu lịch sử điểm, thông báo khi đổi hạng</t>
  </si>
  <si>
    <t>• A1 Điểm dưới ngưỡng: hạn chế/đưa vào xem xét</t>
  </si>
  <si>
    <t>BR-F-092, BR-F-094, BR-F-119, BR-R-028, BR-R-072, BR-R-073, BR-R-074, BR-R-075, BR-G-007</t>
  </si>
  <si>
    <t>Đơn Đã giao trong thời hạn khiếu nại.</t>
  </si>
  <si>
    <t>Hồ sơ khiếu nại được tạo; ký quỹ đóng băng.</t>
  </si>
  <si>
    <t>1. Người dùng chọn Khiếu nại trên đơn
2. Chọn lý do, mô tả, đính kèm bằng chứng
3. Hệ thống kiểm tra thời hạn và điều kiện
4. Hệ thống tạo hồ sơ, đóng băng khoản ký quỹ
5. Thông báo bên liên quan và Kiểm duyệt</t>
  </si>
  <si>
    <t>• A1 Quá hạn: từ chối
• A2 Đã có khiếu nại mở: từ chối</t>
  </si>
  <si>
    <t>BR-F-095, BR-R-054, BR-R-076, BR-R-077, BR-G-005</t>
  </si>
  <si>
    <t>SCR-26</t>
  </si>
  <si>
    <t>Xử lý khiếu nại và phán quyết</t>
  </si>
  <si>
    <t>Người gửi, Người giao</t>
  </si>
  <si>
    <t>Có khiếu nại đang mở.</t>
  </si>
  <si>
    <t>Khiếu nại có phán quyết, tiền được xử lý.</t>
  </si>
  <si>
    <t>1. Kiểm duyệt nhận hồ sơ, xem chat và bằng chứng
2. Trao đổi với các bên
3. Đưa ra phán quyết và lý do
4. Hệ thống thực hiện bút toán tương ứng
5. Thông báo các bên, mở kháng nghị</t>
  </si>
  <si>
    <t>• A1 Kháng nghị: chuyển Admin xem xét lại
• A2 Thiếu bằng chứng: yêu cầu bổ sung</t>
  </si>
  <si>
    <t>BR-F-045, BR-F-096, BR-F-097, BR-F-099, BR-F-100, BR-R-077, BR-R-078, BR-G-005</t>
  </si>
  <si>
    <t>SCR-52, SCR-53</t>
  </si>
  <si>
    <t>Phán quyết bồi thường cho đơn có bảo hiểm.</t>
  </si>
  <si>
    <t>Khoản bồi thường được chi.</t>
  </si>
  <si>
    <t>1. Admin xem phán quyết và số dư quỹ
2. Xác nhận mức bồi thường
3. Hệ thống ghi bút toán chi quỹ vào ví người nhận bồi thường
4. Thông báo</t>
  </si>
  <si>
    <t>• A1 Quỹ không đủ: xếp hàng chờ</t>
  </si>
  <si>
    <t>BR-F-098, BR-R-064, BR-R-077, BR-R-079</t>
  </si>
  <si>
    <t>SCR-56</t>
  </si>
  <si>
    <t>Thông báo được gửi/hiển thị theo cài đặt.</t>
  </si>
  <si>
    <t>1. Sự kiện nghiệp vụ xảy ra
2. Hệ thống chọn mẫu và kênh theo cài đặt
3. Gửi thông báo trong ứng dụng, email, SMS
4. Người dùng xem, đánh dấu đã đọc
5. Người dùng thay đổi cài đặt kênh</t>
  </si>
  <si>
    <t>• A1 Gửi lỗi: thử lại theo cấu hình
• A2 Loại bắt buộc: không cho tắt</t>
  </si>
  <si>
    <t>BR-F-035, BR-F-101, BR-F-102, BR-F-103, BR-F-104, BR-F-105, BR-N-009, BR-N-014, BR-R-085</t>
  </si>
  <si>
    <t>SCR-39, SCR-40</t>
  </si>
  <si>
    <t>Có đơn vừa đăng hoặc bị đánh dấu.</t>
  </si>
  <si>
    <t>Đơn Đang mở hoặc Bị từ chối.</t>
  </si>
  <si>
    <t>1. Hệ thống kiểm tra từ khóa và danh mục
2. Đơn sạch chuyển Đang mở
3. Đơn nghi ngờ vào hàng đợi Kiểm duyệt
4. Kiểm duyệt duyệt hoặc từ chối kèm lý do
5. Thông báo người gửi</t>
  </si>
  <si>
    <t>• A1 Từ chối lặp lại: cảnh báo người gửi</t>
  </si>
  <si>
    <t>BR-F-106, BR-F-107, BR-R-080, BR-C-012</t>
  </si>
  <si>
    <t>SCR-51</t>
  </si>
  <si>
    <t>Báo cáo được ghi nhận.</t>
  </si>
  <si>
    <t>1. Người dùng chọn Báo cáo trên đơn/người dùng/tin nhắn
2. Chọn lý do, bằng chứng
3. Hệ thống tạo hồ sơ
4. Kiểm duyệt xử lý, có thể cảnh cáo hoặc khóa</t>
  </si>
  <si>
    <t>• A1 Báo cáo trùng: gộp</t>
  </si>
  <si>
    <t>BR-F-044, BR-F-056, BR-F-108, BR-F-110, BR-R-034</t>
  </si>
  <si>
    <t>SCR-64</t>
  </si>
  <si>
    <t>Trạng thái tài khoản thay đổi, phiên bị thu hồi.</t>
  </si>
  <si>
    <t>1. Admin chọn tài khoản và hành động
2. Nhập lý do
3. Hệ thống cập nhật, thu hồi phiên
4. Xử lý đơn đang chạy của tài khoản
5. Thông báo người dùng</t>
  </si>
  <si>
    <t>• A1 Tài khoản đang có tiền ký quỹ: xử lý theo quy tắc trước khi khóa</t>
  </si>
  <si>
    <t>BR-F-109, BR-R-074, BR-R-081, BR-R-082</t>
  </si>
  <si>
    <t>SCR-49</t>
  </si>
  <si>
    <t>Dữ liệu người dùng/nhân sự được quản lý.</t>
  </si>
  <si>
    <t>1. Admin tìm kiếm người dùng
2. Xem hồ sơ, lịch sử đơn, giao dịch
3. Gán vai trò hoặc tạo tài khoản nhân sự
4. Xử lý yêu cầu xuất/xóa dữ liệu</t>
  </si>
  <si>
    <t>• A1 Thao tác vượt quyền: bị chặn</t>
  </si>
  <si>
    <t>BR-F-111, BR-F-112, BR-F-124, BR-N-040</t>
  </si>
  <si>
    <t>SCR-48, SCR-49, SCR-63</t>
  </si>
  <si>
    <t>Danh mục được cập nhật.</t>
  </si>
  <si>
    <t>1. Admin chọn danh mục: loại hàng, từ khóa hàng cấm, khu vực, điểm hẹn, điều khoản
2. Thêm/sửa/ẩn mục
3. Hệ thống lưu và áp dụng</t>
  </si>
  <si>
    <t>• A1 Xóa mục đang được dùng: chỉ cho ẩn</t>
  </si>
  <si>
    <t>BR-F-061, BR-F-113, BR-C-012</t>
  </si>
  <si>
    <t>SCR-58</t>
  </si>
  <si>
    <t>Hiển thị số liệu và tệp báo cáo.</t>
  </si>
  <si>
    <t>1. Admin mở dashboard, chọn khoảng thời gian
2. Hệ thống tổng hợp chỉ số
3. Hiển thị biểu đồ và bảng
4. Xuất báo cáo Excel/CSV</t>
  </si>
  <si>
    <t>• A1 Không có dữ liệu: hiển thị trạng thái rỗng</t>
  </si>
  <si>
    <t>BR-F-084, BR-F-100, BR-F-114, BR-F-115, BR-C-010</t>
  </si>
  <si>
    <t>SCR-47, SCR-62</t>
  </si>
  <si>
    <t>Hiển thị bản ghi audit.</t>
  </si>
  <si>
    <t>1. Admin mở nhật ký kiểm toán
2. Lọc theo người thực hiện, đối tượng, thời gian
3. Xem chi tiết giá trị trước/sau</t>
  </si>
  <si>
    <t>• A1 Không có chức năng sửa/xóa bản ghi</t>
  </si>
  <si>
    <t>BR-F-083, BR-F-116, BR-N-026, BR-N-038, BR-R-045, BR-R-084</t>
  </si>
  <si>
    <t>SCR-60</t>
  </si>
  <si>
    <t>Người giao có dữ liệu.</t>
  </si>
  <si>
    <t>Hiển thị thu nhập, hiệu suất.</t>
  </si>
  <si>
    <t>1. Người giao mở Thu nhập
2. Chọn ngày/tuần/tháng
3. Hệ thống tổng hợp doanh thu, hoa hồng, thu nhập ròng
4. Hiển thị biểu đồ và tiến độ lên hạng</t>
  </si>
  <si>
    <t>• A1 Chưa có đơn: trạng thái rỗng kèm gợi ý</t>
  </si>
  <si>
    <t>BR-F-074, BR-F-118, BR-F-119, BR-G-014</t>
  </si>
  <si>
    <t>SCR-27, SCR-35</t>
  </si>
  <si>
    <t>Huy hiệu, thưởng và giới thiệu bạn bè</t>
  </si>
  <si>
    <t>Có cấu hình thưởng.</t>
  </si>
  <si>
    <t>Huy hiệu/thưởng được trao.</t>
  </si>
  <si>
    <t>1. Hệ thống theo dõi thành tích
2. Đạt điều kiện thì trao huy hiệu/thưởng
3. Người dùng xem huy hiệu, mã giới thiệu
4. Thưởng giới thiệu ghi vào ví sau đơn đầu tiên của người được mời</t>
  </si>
  <si>
    <t>• A1 Mã giới thiệu đã dùng: từ chối</t>
  </si>
  <si>
    <t>BR-F-120, BR-F-121, BR-G-014</t>
  </si>
  <si>
    <t>SCR-37</t>
  </si>
  <si>
    <t>Xử lý tác vụ định kỳ</t>
  </si>
  <si>
    <t>Scheduler hoạt động.</t>
  </si>
  <si>
    <t>Các tác vụ nền được thực thi và ghi nhật ký.</t>
  </si>
  <si>
    <t>1. Scheduler kích hoạt job theo lịch
2. Job lấy khóa phân tán
3. Xử lý: hết hạn đơn/chào giá, quá hạn lấy hàng, tự giải ngân, truy vấn giao dịch treo, nhắc nhở, tính lại điểm
4. Ghi kết quả, cảnh báo nếu lỗi</t>
  </si>
  <si>
    <t>• A1 Job lỗi: thử lại, cảnh báo Admin
• A2 Instance khác đang chạy: bỏ qua</t>
  </si>
  <si>
    <t>BR-F-067, BR-F-073, BR-F-117, BR-N-015, BR-N-041, BR-R-020, BR-R-031, BR-R-043</t>
  </si>
  <si>
    <t>SCR-61</t>
  </si>
  <si>
    <t>Ghi chú: Lộ trình 5 tuần (5 Sprint) trước ngày Deploy (16/11/2026). Toàn bộ 63 Use Case đã được phân bổ ngày bắt đầu và hạn chót tương ứng với từng Sprint.</t>
  </si>
  <si>
    <t>Ma trận truy vết</t>
  </si>
  <si>
    <t>UC → số BR theo loại (tính tự động từ sheet 03) → danh sách BR, màn hình, API</t>
  </si>
  <si>
    <t>Functional</t>
  </si>
  <si>
    <t>Non-functional</t>
  </si>
  <si>
    <t>Constraint</t>
  </si>
  <si>
    <t>Goal</t>
  </si>
  <si>
    <t>Tổng BR</t>
  </si>
  <si>
    <t>Danh sách BR liên quan</t>
  </si>
  <si>
    <t>Ma trận số lượng BR theo phân hệ và loại</t>
  </si>
  <si>
    <t>Tổng</t>
  </si>
  <si>
    <t>Tham số nghiệp vụ (có thể cấu hình)</t>
  </si>
  <si>
    <t>Mọi con số trong BR được lấy từ đây; Admin chỉnh qua UC-46. Ô giá trị (chữ xanh) là nguồn duy nhất của sự thật.</t>
  </si>
  <si>
    <t>Khóa cấu hình</t>
  </si>
  <si>
    <t>Tên tham số</t>
  </si>
  <si>
    <t>Giá trị mặc định</t>
  </si>
  <si>
    <t>Đơn vị</t>
  </si>
  <si>
    <t>Số BR tham chiếu</t>
  </si>
  <si>
    <t>Người chỉnh</t>
  </si>
  <si>
    <t>PRM-001</t>
  </si>
  <si>
    <t>Tài khoản &amp; Bảo mật</t>
  </si>
  <si>
    <t>OTP_TTL</t>
  </si>
  <si>
    <t>Thời hạn hiệu lực OTP</t>
  </si>
  <si>
    <t>phút</t>
  </si>
  <si>
    <t>Thời gian OTP đăng ký/đặt lại mật khẩu còn hiệu lực.</t>
  </si>
  <si>
    <t>Admin (UC-46)</t>
  </si>
  <si>
    <t>PRM-002</t>
  </si>
  <si>
    <t>OTP_MAX_TRIES</t>
  </si>
  <si>
    <t>Số lần nhập sai OTP tối đa</t>
  </si>
  <si>
    <t>lần</t>
  </si>
  <si>
    <t>Vượt quá thì OTP bị vô hiệu, phải yêu cầu gửi lại.</t>
  </si>
  <si>
    <t>PRM-003</t>
  </si>
  <si>
    <t>OTP_RESEND</t>
  </si>
  <si>
    <t>Khoảng cách tối thiểu giữa 2 lần gửi OTP</t>
  </si>
  <si>
    <t>giây</t>
  </si>
  <si>
    <t>Chống spam SMS/email.</t>
  </si>
  <si>
    <t>PRM-004</t>
  </si>
  <si>
    <t>LOGIN_MAX_FAIL</t>
  </si>
  <si>
    <t>Số lần đăng nhập sai liên tiếp tối đa</t>
  </si>
  <si>
    <t>Vượt quá thì khóa đăng nhập tạm thời.</t>
  </si>
  <si>
    <t>PRM-005</t>
  </si>
  <si>
    <t>LOGIN_LOCK</t>
  </si>
  <si>
    <t>Thời gian khóa đăng nhập tạm thời</t>
  </si>
  <si>
    <t>Áp dụng khi vượt LOGIN_MAX_FAIL.</t>
  </si>
  <si>
    <t>PRM-006</t>
  </si>
  <si>
    <t>JWT_ACCESS</t>
  </si>
  <si>
    <t>Thời hạn Access Token</t>
  </si>
  <si>
    <t>JWT truy cập ngắn hạn.</t>
  </si>
  <si>
    <t>PRM-007</t>
  </si>
  <si>
    <t>JWT_REFRESH</t>
  </si>
  <si>
    <t>Thời hạn Refresh Token</t>
  </si>
  <si>
    <t>ngày</t>
  </si>
  <si>
    <t>Refresh token xoay vòng (rotation).</t>
  </si>
  <si>
    <t>PWD_MIN</t>
  </si>
  <si>
    <t>Độ dài mật khẩu tối thiểu</t>
  </si>
  <si>
    <t>ký tự</t>
  </si>
  <si>
    <t>Kèm ít nhất 1 chữ hoa, 1 chữ thường, 1 chữ số.</t>
  </si>
  <si>
    <t>MAX_DEVICES</t>
  </si>
  <si>
    <t>Số thiết bị đăng nhập đồng thời tối đa</t>
  </si>
  <si>
    <t>thiết bị</t>
  </si>
  <si>
    <t>Thiết bị cũ nhất bị đăng xuất khi vượt.</t>
  </si>
  <si>
    <t>PRM-010</t>
  </si>
  <si>
    <t>RATE_API</t>
  </si>
  <si>
    <t>Giới hạn gọi API</t>
  </si>
  <si>
    <t>request/phút/người dùng</t>
  </si>
  <si>
    <t>Vượt quá trả HTTP 429.</t>
  </si>
  <si>
    <t>PRM-011</t>
  </si>
  <si>
    <t>RATE_AUTH</t>
  </si>
  <si>
    <t>Giới hạn gọi API xác thực</t>
  </si>
  <si>
    <t>request/phút/IP</t>
  </si>
  <si>
    <t>Áp dụng cho đăng nhập, đăng ký, OTP, quên mật khẩu.</t>
  </si>
  <si>
    <t>PRM-012</t>
  </si>
  <si>
    <t>MAX_WEIGHT</t>
  </si>
  <si>
    <t>Khối lượng tối đa mỗi đơn</t>
  </si>
  <si>
    <t>kg</t>
  </si>
  <si>
    <t>Phù hợp xe máy/xe khách; hàng nặng hơn không nhận.</t>
  </si>
  <si>
    <t>BR-R-016, BR-C-020</t>
  </si>
  <si>
    <t>PRM-013</t>
  </si>
  <si>
    <t>MAX_SIDE</t>
  </si>
  <si>
    <t>Cạnh dài nhất tối đa</t>
  </si>
  <si>
    <t>cm</t>
  </si>
  <si>
    <t>Giới hạn kích thước kiện hàng.</t>
  </si>
  <si>
    <t>PRM-014</t>
  </si>
  <si>
    <t>SIZE_S</t>
  </si>
  <si>
    <t>Ngưỡng cạnh dài của cỡ Nhỏ</t>
  </si>
  <si>
    <t>Cạnh dài ≤ ngưỡng này là cỡ Nhỏ.</t>
  </si>
  <si>
    <t>PRM-015</t>
  </si>
  <si>
    <t>SIZE_M</t>
  </si>
  <si>
    <t>Ngưỡng cạnh dài của cỡ Vừa</t>
  </si>
  <si>
    <t>Cạnh dài &gt; SIZE_S và ≤ ngưỡng này là cỡ Vừa; lớn hơn là cỡ Lớn.</t>
  </si>
  <si>
    <t>PRM-016</t>
  </si>
  <si>
    <t>MAX_DECLARED</t>
  </si>
  <si>
    <t>Giá trị khai báo tối đa mỗi đơn</t>
  </si>
  <si>
    <t>VND</t>
  </si>
  <si>
    <t>Giới hạn rủi ro giai đoạn pilot.</t>
  </si>
  <si>
    <t>HIGH_VALUE</t>
  </si>
  <si>
    <t>Ngưỡng 'hàng giá trị cao'</t>
  </si>
  <si>
    <t>Đơn vượt ngưỡng chỉ người giao hạng Bạc trở lên và đã xác minh mới được nhận.</t>
  </si>
  <si>
    <t>PRM-018</t>
  </si>
  <si>
    <t>MAX_PHOTOS</t>
  </si>
  <si>
    <t>Số ảnh tối đa mỗi đơn</t>
  </si>
  <si>
    <t>ảnh</t>
  </si>
  <si>
    <t>Ảnh hàng hóa lúc tạo đơn.</t>
  </si>
  <si>
    <t>MAX_PHOTO_MB</t>
  </si>
  <si>
    <t>Dung lượng tối đa mỗi ảnh</t>
  </si>
  <si>
    <t>MB</t>
  </si>
  <si>
    <t>Định dạng JPG/PNG/WEBP.</t>
  </si>
  <si>
    <t>BR-N-023, BR-R-018</t>
  </si>
  <si>
    <t>PRM-020</t>
  </si>
  <si>
    <t>OPEN_DEFAULT</t>
  </si>
  <si>
    <t>Thời gian mở nhận đơn mặc định</t>
  </si>
  <si>
    <t>giờ</t>
  </si>
  <si>
    <t>Sau thời gian này đơn tự hết hạn nếu chưa có người giao.</t>
  </si>
  <si>
    <t>PRM-021</t>
  </si>
  <si>
    <t>OPEN_MAX</t>
  </si>
  <si>
    <t>Thời gian mở nhận đơn tối đa</t>
  </si>
  <si>
    <t>Người gửi có thể tăng tối đa.</t>
  </si>
  <si>
    <t>PRM-022</t>
  </si>
  <si>
    <t>PICKUP_GRACE</t>
  </si>
  <si>
    <t>Thời gian châm chước lấy hàng</t>
  </si>
  <si>
    <t>Quá giờ hẹn lấy + châm chước mà chưa lấy thì xử lý quá hạn.</t>
  </si>
  <si>
    <t>PAY_HOLD</t>
  </si>
  <si>
    <t>Thời gian giữ chỗ chờ ký quỹ</t>
  </si>
  <si>
    <t>Sau khi chọn người giao, người gửi phải ký quỹ trong thời gian này.</t>
  </si>
  <si>
    <t>MAX_OPEN</t>
  </si>
  <si>
    <t>Số đơn đang mở tối đa của một người gửi</t>
  </si>
  <si>
    <t>đơn</t>
  </si>
  <si>
    <t>Chống spam sàn đơn.</t>
  </si>
  <si>
    <t>PRM-025</t>
  </si>
  <si>
    <t>CONTACT_TRIES</t>
  </si>
  <si>
    <t>Số lần liên hệ người nhận trước khi coi là giao thất bại</t>
  </si>
  <si>
    <t>3 lần gọi trong 30 phút</t>
  </si>
  <si>
    <t>Người giao phải có bằng chứng cuộc gọi/tin nhắn trong ứng dụng.</t>
  </si>
  <si>
    <t>PRM-026</t>
  </si>
  <si>
    <t>Giá &amp; Phí</t>
  </si>
  <si>
    <t>BASE_FARE</t>
  </si>
  <si>
    <t>Phí giao cơ bản</t>
  </si>
  <si>
    <t>Áp dụng cho BASE_KM km đầu tiên.</t>
  </si>
  <si>
    <t>PRM-027</t>
  </si>
  <si>
    <t>BASE_KM</t>
  </si>
  <si>
    <t>Quãng đường tính phí cơ bản</t>
  </si>
  <si>
    <t>km</t>
  </si>
  <si>
    <t>Km đầu tiên nằm trong phí cơ bản.</t>
  </si>
  <si>
    <t>PRM-028</t>
  </si>
  <si>
    <t>PER_KM</t>
  </si>
  <si>
    <t>Đơn giá mỗi km tiếp theo</t>
  </si>
  <si>
    <t>VND/km</t>
  </si>
  <si>
    <t>Từ sau BASE_KM đến LONG_KM.</t>
  </si>
  <si>
    <t>PRM-029</t>
  </si>
  <si>
    <t>LONG_KM</t>
  </si>
  <si>
    <t>Ngưỡng quãng đường dài</t>
  </si>
  <si>
    <t>Vượt ngưỡng áp dụng đơn giá PER_KM_LONG cho phần vượt.</t>
  </si>
  <si>
    <t>PRM-030</t>
  </si>
  <si>
    <t>PER_KM_LONG</t>
  </si>
  <si>
    <t>Đơn giá mỗi km phần quãng đường dài</t>
  </si>
  <si>
    <t>Áp dụng cho phần vượt LONG_KM.</t>
  </si>
  <si>
    <t>PRM-031</t>
  </si>
  <si>
    <t>W_FEE_2</t>
  </si>
  <si>
    <t>Phụ phí khối lượng &gt;2–5 kg</t>
  </si>
  <si>
    <t>Dưới hoặc bằng 2 kg: 0đ.</t>
  </si>
  <si>
    <t>PRM-032</t>
  </si>
  <si>
    <t>W_FEE_3</t>
  </si>
  <si>
    <t>Phụ phí khối lượng &gt;5–10 kg</t>
  </si>
  <si>
    <t>PRM-033</t>
  </si>
  <si>
    <t>W_FEE_4</t>
  </si>
  <si>
    <t>Phụ phí khối lượng &gt;10–20 kg</t>
  </si>
  <si>
    <t>PRM-034</t>
  </si>
  <si>
    <t>SIZE_FEE_M</t>
  </si>
  <si>
    <t>Phụ phí cỡ Vừa</t>
  </si>
  <si>
    <t>Cỡ Nhỏ: 0đ.</t>
  </si>
  <si>
    <t>PRM-035</t>
  </si>
  <si>
    <t>SIZE_FEE_L</t>
  </si>
  <si>
    <t>Phụ phí cỡ Lớn</t>
  </si>
  <si>
    <t>PRM-036</t>
  </si>
  <si>
    <t>URGENT_MULT</t>
  </si>
  <si>
    <t>Hệ số giao gấp (trong 2 giờ)</t>
  </si>
  <si>
    <t>Nhân vào phí giao.</t>
  </si>
  <si>
    <t>PRM-037</t>
  </si>
  <si>
    <t>SAMEDAY_MULT</t>
  </si>
  <si>
    <t>Hệ số giao trong ngày</t>
  </si>
  <si>
    <t>PRM-038</t>
  </si>
  <si>
    <t>MIN_FARE</t>
  </si>
  <si>
    <t>Phí giao tối thiểu</t>
  </si>
  <si>
    <t>Sàn giá của mọi đơn.</t>
  </si>
  <si>
    <t>PRM-039</t>
  </si>
  <si>
    <t>BID_MIN</t>
  </si>
  <si>
    <t>Biên dưới giá chào</t>
  </si>
  <si>
    <t>% giá gợi ý</t>
  </si>
  <si>
    <t>Chào giá/phản giá phải ≥ biên này.</t>
  </si>
  <si>
    <t>PRM-040</t>
  </si>
  <si>
    <t>BID_MAX</t>
  </si>
  <si>
    <t>Biên trên giá chào</t>
  </si>
  <si>
    <t>Chào giá/phản giá phải ≤ biên này.</t>
  </si>
  <si>
    <t>PRM-041</t>
  </si>
  <si>
    <t>BID_TTL</t>
  </si>
  <si>
    <t>Thời hạn hiệu lực chào giá</t>
  </si>
  <si>
    <t>Chào giá tự hết hạn.</t>
  </si>
  <si>
    <t>PRM-042</t>
  </si>
  <si>
    <t>FEE_NEW</t>
  </si>
  <si>
    <t>Hoa hồng hạng Tân binh</t>
  </si>
  <si>
    <t>% phí giao</t>
  </si>
  <si>
    <t>Thu từ người giao, tính trên phí giao.</t>
  </si>
  <si>
    <t>BR-R-067, BR-G-006</t>
  </si>
  <si>
    <t>PRM-043</t>
  </si>
  <si>
    <t>FEE_BRONZE</t>
  </si>
  <si>
    <t>Hoa hồng hạng Đồng</t>
  </si>
  <si>
    <t>PRM-044</t>
  </si>
  <si>
    <t>FEE_SILVER</t>
  </si>
  <si>
    <t>Hoa hồng hạng Bạc</t>
  </si>
  <si>
    <t>PRM-045</t>
  </si>
  <si>
    <t>FEE_GOLD</t>
  </si>
  <si>
    <t>Hoa hồng hạng Vàng</t>
  </si>
  <si>
    <t>PRM-046</t>
  </si>
  <si>
    <t>FEE_DIAMOND</t>
  </si>
  <si>
    <t>Hoa hồng hạng Kim cương</t>
  </si>
  <si>
    <t>PRM-047</t>
  </si>
  <si>
    <t>INS_RATE</t>
  </si>
  <si>
    <t>Phí bảo hiểm tùy chọn</t>
  </si>
  <si>
    <t>% giá trị khai báo</t>
  </si>
  <si>
    <t>Người gửi trả nếu chọn bảo hiểm.</t>
  </si>
  <si>
    <t>PRM-048</t>
  </si>
  <si>
    <t>INS_MIN</t>
  </si>
  <si>
    <t>Phí bảo hiểm tối thiểu</t>
  </si>
  <si>
    <t>FUND_SHARE</t>
  </si>
  <si>
    <t>Tỷ lệ trích hoa hồng vào Quỹ bảo đảm</t>
  </si>
  <si>
    <t>% hoa hồng</t>
  </si>
  <si>
    <t>Cộng thêm toàn bộ phí bảo hiểm.</t>
  </si>
  <si>
    <t>PRM-050</t>
  </si>
  <si>
    <t>CANCEL_RATE</t>
  </si>
  <si>
    <t>Phí hủy đơn sau khi có người giao</t>
  </si>
  <si>
    <t>Người gửi hủy sau khi ký quỹ và trước khi lấy hàng.</t>
  </si>
  <si>
    <t>PRM-051</t>
  </si>
  <si>
    <t>CANCEL_MIN</t>
  </si>
  <si>
    <t>Phí hủy tối thiểu</t>
  </si>
  <si>
    <t>PRM-052</t>
  </si>
  <si>
    <t>RETURN_FEE</t>
  </si>
  <si>
    <t>Phí hoàn hàng khi giao thất bại do người gửi/người nhận</t>
  </si>
  <si>
    <t>Thu thêm từ người gửi, trả cho người giao.</t>
  </si>
  <si>
    <t>ROUND_FEE</t>
  </si>
  <si>
    <t>Bước làm tròn lên của phí giao</t>
  </si>
  <si>
    <t>Phí giao làm tròn lên bội số của giá trị này.</t>
  </si>
  <si>
    <t>NEGO_ROUNDS</t>
  </si>
  <si>
    <t>Số vòng phản giá tối đa cho một chào giá</t>
  </si>
  <si>
    <t>vòng</t>
  </si>
  <si>
    <t>WITHHOLD</t>
  </si>
  <si>
    <t>Tỷ lệ khấu trừ thuế trên doanh thu người giao</t>
  </si>
  <si>
    <t>% doanh thu</t>
  </si>
  <si>
    <t>Mặc định 0% trong đồ án; cấu hình theo quy định thuế hiện hành khi thương mại hóa.</t>
  </si>
  <si>
    <t>PRM-056</t>
  </si>
  <si>
    <t>MIN_TOPUP</t>
  </si>
  <si>
    <t>Số tiền nạp tối thiểu</t>
  </si>
  <si>
    <t>Mỗi giao dịch nạp.</t>
  </si>
  <si>
    <t>PRM-057</t>
  </si>
  <si>
    <t>MAX_TOPUP</t>
  </si>
  <si>
    <t>Số tiền nạp tối đa mỗi giao dịch</t>
  </si>
  <si>
    <t>Còn phụ thuộc hạn mức của ngân hàng/VNPay.</t>
  </si>
  <si>
    <t>PRM-058</t>
  </si>
  <si>
    <t>MAX_BALANCE</t>
  </si>
  <si>
    <t>Số dư ví tối đa</t>
  </si>
  <si>
    <t>Kiểm soát rủi ro pháp lý và gian lận.</t>
  </si>
  <si>
    <t>PRM-059</t>
  </si>
  <si>
    <t>MIN_WITHDRAW</t>
  </si>
  <si>
    <t>Số tiền rút tối thiểu</t>
  </si>
  <si>
    <t>Số dư khả dụng phải ≥ ngưỡng này mới được rút.</t>
  </si>
  <si>
    <t>PRM-060</t>
  </si>
  <si>
    <t>MAX_WITHDRAW</t>
  </si>
  <si>
    <t>Số tiền rút tối đa mỗi lần</t>
  </si>
  <si>
    <t>PRM-061</t>
  </si>
  <si>
    <t>MAX_WD_DAY</t>
  </si>
  <si>
    <t>Tổng số tiền rút tối đa mỗi ngày</t>
  </si>
  <si>
    <t>Mỗi người dùng.</t>
  </si>
  <si>
    <t>PRM-062</t>
  </si>
  <si>
    <t>FREE_WD</t>
  </si>
  <si>
    <t>Số lần rút miễn phí mỗi tháng</t>
  </si>
  <si>
    <t>Từ lần thứ 5 tính phí.</t>
  </si>
  <si>
    <t>PRM-063</t>
  </si>
  <si>
    <t>WD_FEE</t>
  </si>
  <si>
    <t>Phí rút tiền từ lần thứ 5 trong tháng</t>
  </si>
  <si>
    <t>WD_SLA</t>
  </si>
  <si>
    <t>Thời hạn xử lý yêu cầu rút tiền</t>
  </si>
  <si>
    <t>ngày làm việc</t>
  </si>
  <si>
    <t>Tính từ khi yêu cầu hợp lệ.</t>
  </si>
  <si>
    <t>DUAL_APPROVE</t>
  </si>
  <si>
    <t>Ngưỡng bắt buộc hai cấp duyệt</t>
  </si>
  <si>
    <t>Yêu cầu rút ≥ ngưỡng cần 2 Admin khác nhau duyệt (maker–checker).</t>
  </si>
  <si>
    <t>BANK_COOLDOWN</t>
  </si>
  <si>
    <t>Thời gian chờ sau khi thêm/đổi tài khoản ngân hàng</t>
  </si>
  <si>
    <t>Chưa được rút về tài khoản mới trong thời gian này.</t>
  </si>
  <si>
    <t>VNPAY_EXPIRE</t>
  </si>
  <si>
    <t>Thời hạn liên kết thanh toán VNPay</t>
  </si>
  <si>
    <t>Đặt vào tham số hết hạn của giao dịch VNPay.</t>
  </si>
  <si>
    <t>PRM-068</t>
  </si>
  <si>
    <t>VNPAY_TIMEOUT</t>
  </si>
  <si>
    <t>Timeout gọi API VNPay</t>
  </si>
  <si>
    <t>Thử lại tối đa 2 lần với truy vấn/hoàn tiền.</t>
  </si>
  <si>
    <t>PRM-069</t>
  </si>
  <si>
    <t>RELEASE_DELAY</t>
  </si>
  <si>
    <t>Độ trễ giải ngân sau khi người nhận xác nhận</t>
  </si>
  <si>
    <t>Cửa sổ để phát hiện sự cố nhanh trước khi tiền chuyển cho người giao.</t>
  </si>
  <si>
    <t>AUTO_RELEASE</t>
  </si>
  <si>
    <t>Thời gian tự giải ngân khi không có xác nhận của người nhận</t>
  </si>
  <si>
    <t>Áp dụng khi giao không có OTP/QR và không có khiếu nại.</t>
  </si>
  <si>
    <t>BR-R-040, BR-R-054</t>
  </si>
  <si>
    <t>DISPUTE_WINDOW</t>
  </si>
  <si>
    <t>Thời hạn khiếu nại sau khi giao</t>
  </si>
  <si>
    <t>Quá hạn không tiếp nhận khiếu nại (trừ trường hợp Admin cho phép).</t>
  </si>
  <si>
    <t>BR-R-033, BR-R-042, BR-R-076</t>
  </si>
  <si>
    <t>RECONCILE_AT</t>
  </si>
  <si>
    <t>Giờ chạy đối soát hằng ngày</t>
  </si>
  <si>
    <t>giờ (02:00)</t>
  </si>
  <si>
    <t>Đối soát giao dịch ngày hôm trước.</t>
  </si>
  <si>
    <t>IDEM_TTL</t>
  </si>
  <si>
    <t>Thời hạn lưu khóa idempotency</t>
  </si>
  <si>
    <t>Chống xử lý lặp giao dịch tiền.</t>
  </si>
  <si>
    <t>PRM-074</t>
  </si>
  <si>
    <t>Uy tín &amp; Hạng</t>
  </si>
  <si>
    <t>TRUST_INIT</t>
  </si>
  <si>
    <t>Điểm uy tín khởi tạo</t>
  </si>
  <si>
    <t>điểm</t>
  </si>
  <si>
    <t>Thang 0–100.</t>
  </si>
  <si>
    <t>PRM-075</t>
  </si>
  <si>
    <t>W_ONTIME</t>
  </si>
  <si>
    <t>Trọng số tỷ lệ giao đúng hạn</t>
  </si>
  <si>
    <t>%</t>
  </si>
  <si>
    <t>PRM-076</t>
  </si>
  <si>
    <t>W_RATING</t>
  </si>
  <si>
    <t>Trọng số điểm đánh giá trung bình</t>
  </si>
  <si>
    <t>PRM-077</t>
  </si>
  <si>
    <t>W_COMPLETE</t>
  </si>
  <si>
    <t>Trọng số tỷ lệ hoàn thành đơn đã nhận</t>
  </si>
  <si>
    <t>PRM-078</t>
  </si>
  <si>
    <t>W_COMPLAINT</t>
  </si>
  <si>
    <t>Trọng số khiếu nại (điểm trừ)</t>
  </si>
  <si>
    <t>Tỷ lệ khiếu nại bị xử thua càng cao, điểm càng thấp.</t>
  </si>
  <si>
    <t>PRM-079</t>
  </si>
  <si>
    <t>TIER_BRONZE</t>
  </si>
  <si>
    <t>Điều kiện lên hạng Đồng</t>
  </si>
  <si>
    <t>≥ 55 điểm &amp; ≥ 5 đơn</t>
  </si>
  <si>
    <t>PRM-080</t>
  </si>
  <si>
    <t>TIER_SILVER</t>
  </si>
  <si>
    <t>Điều kiện lên hạng Bạc</t>
  </si>
  <si>
    <t>≥ 70 điểm &amp; ≥ 20 đơn</t>
  </si>
  <si>
    <t>PRM-081</t>
  </si>
  <si>
    <t>TIER_GOLD</t>
  </si>
  <si>
    <t>Điều kiện lên hạng Vàng</t>
  </si>
  <si>
    <t>≥ 85 điểm &amp; ≥ 60 đơn</t>
  </si>
  <si>
    <t>PRM-082</t>
  </si>
  <si>
    <t>TIER_DIAMOND</t>
  </si>
  <si>
    <t>Điều kiện lên hạng Kim cương</t>
  </si>
  <si>
    <t>≥ 95 điểm &amp; ≥ 150 đơn</t>
  </si>
  <si>
    <t>PRM-083</t>
  </si>
  <si>
    <t>CONC_TIER</t>
  </si>
  <si>
    <t>Số đơn đang giao đồng thời tối đa theo hạng</t>
  </si>
  <si>
    <t>Tân binh 3 / Đồng 5 / Bạc 8 / Vàng 12 / Kim cương 15</t>
  </si>
  <si>
    <t>PRM-084</t>
  </si>
  <si>
    <t>VALUE_TIER</t>
  </si>
  <si>
    <t>Tổng giá trị khai báo đang giữ tối đa theo hạng</t>
  </si>
  <si>
    <t>Tân binh 3 / Đồng 6 / Bạc 10 / Vàng 15 / Kim cương 20 (triệu đồng)</t>
  </si>
  <si>
    <t>PRM-085</t>
  </si>
  <si>
    <t>TRUST_RESTRICT</t>
  </si>
  <si>
    <t>Ngưỡng hạn chế nhận đơn</t>
  </si>
  <si>
    <t>Điểm dưới ngưỡng: chỉ nhận đơn giá trị thấp.</t>
  </si>
  <si>
    <t>PRM-086</t>
  </si>
  <si>
    <t>TRUST_REVIEW</t>
  </si>
  <si>
    <t>Ngưỡng chuyển Admin xem xét khóa</t>
  </si>
  <si>
    <t>REVIEW_WINDOW</t>
  </si>
  <si>
    <t>Thời hạn gửi đánh giá sau khi hoàn tất</t>
  </si>
  <si>
    <t>PRM-088</t>
  </si>
  <si>
    <t>CANCEL_LIMIT</t>
  </si>
  <si>
    <t>Số lần người giao hủy tối đa trong 30 ngày</t>
  </si>
  <si>
    <t>Vượt quá bị tạm khóa nhận đơn.</t>
  </si>
  <si>
    <t>PRM-089</t>
  </si>
  <si>
    <t>CANCEL_BAN</t>
  </si>
  <si>
    <t>Thời gian tạm khóa nhận đơn do hủy quá nhiều</t>
  </si>
  <si>
    <t>PRM-090</t>
  </si>
  <si>
    <t>CANCEL_PENALTY</t>
  </si>
  <si>
    <t>Điểm trừ mỗi lần người giao hủy sau khi nhận</t>
  </si>
  <si>
    <t>BR-R-043, BR-R-075</t>
  </si>
  <si>
    <t>Theo dõi &amp; Vận hành</t>
  </si>
  <si>
    <t>GPS_INTERVAL</t>
  </si>
  <si>
    <t>Chu kỳ gửi vị trí GPS</t>
  </si>
  <si>
    <t>Khi người giao đang ở trạng thái Đã lấy hàng/Đang giao và ứng dụng ở foreground.</t>
  </si>
  <si>
    <t>PRM-092</t>
  </si>
  <si>
    <t>TRACK_TTL</t>
  </si>
  <si>
    <t>Thời gian lưu điểm vị trí chi tiết</t>
  </si>
  <si>
    <t>tháng</t>
  </si>
  <si>
    <t>MongoDB TTL index.</t>
  </si>
  <si>
    <t>PRM-093</t>
  </si>
  <si>
    <t>CHAT_TTL</t>
  </si>
  <si>
    <t>Thời gian lưu tin nhắn chat</t>
  </si>
  <si>
    <t>PRM-094</t>
  </si>
  <si>
    <t>DELIVERY_OTP_LEN</t>
  </si>
  <si>
    <t>Độ dài OTP giao hàng</t>
  </si>
  <si>
    <t>chữ số</t>
  </si>
  <si>
    <t>Gửi cho người nhận.</t>
  </si>
  <si>
    <t>PRM-095</t>
  </si>
  <si>
    <t>DELIVERY_OTP_FAIL</t>
  </si>
  <si>
    <t>Số lần nhập sai OTP giao hàng tối đa</t>
  </si>
  <si>
    <t>Quá số lần: khóa nhập OTP 30 phút, hướng dẫn liên hệ Hỗ trợ.</t>
  </si>
  <si>
    <t>PRM-096</t>
  </si>
  <si>
    <t>DELIVERY_OTP_LOCK</t>
  </si>
  <si>
    <t>Thời gian khóa nhập OTP giao hàng khi nhập sai quá số lần</t>
  </si>
  <si>
    <t>QR_TTL</t>
  </si>
  <si>
    <t>Thời hạn mã QR bàn giao</t>
  </si>
  <si>
    <t>Mã QR có chữ ký, tự làm mới.</t>
  </si>
  <si>
    <t>PRM-098</t>
  </si>
  <si>
    <t>NOTIF_RETRY</t>
  </si>
  <si>
    <t>Số lần thử lại gửi thông báo</t>
  </si>
  <si>
    <t>Email/SMS gửi lỗi.</t>
  </si>
  <si>
    <t>PRM-099</t>
  </si>
  <si>
    <t>MATCH_DETOUR</t>
  </si>
  <si>
    <t>Độ lệch tuyến tối đa khi ghép đơn–chuyến</t>
  </si>
  <si>
    <t>Khoảng cách từ điểm lấy/giao đến đường đi của chuyến.</t>
  </si>
  <si>
    <t>PRM-100</t>
  </si>
  <si>
    <t>MATCH_TOPN</t>
  </si>
  <si>
    <t>Số gợi ý ghép tối đa</t>
  </si>
  <si>
    <t>gợi ý</t>
  </si>
  <si>
    <t>BATCH_MAX</t>
  </si>
  <si>
    <t>Số đơn gộp tối đa cho một lượt giao</t>
  </si>
  <si>
    <t>RELAY_MAX</t>
  </si>
  <si>
    <t>Số chặng tối đa của đơn giao tiếp sức</t>
  </si>
  <si>
    <t>chặng</t>
  </si>
  <si>
    <t>PRM-103</t>
  </si>
  <si>
    <t>KYC_SLA</t>
  </si>
  <si>
    <t>Thời hạn duyệt hồ sơ xác minh</t>
  </si>
  <si>
    <t>giờ làm việc</t>
  </si>
  <si>
    <t>PRM-104</t>
  </si>
  <si>
    <t>DISPUTE_RESP</t>
  </si>
  <si>
    <t>Thời hạn phản hồi đầu tiên cho khiếu nại</t>
  </si>
  <si>
    <t>PRM-105</t>
  </si>
  <si>
    <t>DISPUTE_RESOLVE</t>
  </si>
  <si>
    <t>Thời hạn xử lý xong khiếu nại</t>
  </si>
  <si>
    <t>PRM-106</t>
  </si>
  <si>
    <t>APPEAL_WINDOW</t>
  </si>
  <si>
    <t>Thời hạn kháng nghị phán quyết khiếu nại</t>
  </si>
  <si>
    <t>Mỗi bên được kháng nghị 1 lần.</t>
  </si>
  <si>
    <t>PRM-107</t>
  </si>
  <si>
    <t>AUDIT_KEEP</t>
  </si>
  <si>
    <t>Thời gian lưu nhật ký kiểm toán</t>
  </si>
  <si>
    <t>năm</t>
  </si>
  <si>
    <t>PRM-108</t>
  </si>
  <si>
    <t>LEDGER_KEEP</t>
  </si>
  <si>
    <t>Thời gian lưu sổ cái giao dịch</t>
  </si>
  <si>
    <t>Dự kiến theo quy định lưu trữ chứng từ kế toán; cần xác nhận với kế toán/pháp chế.</t>
  </si>
  <si>
    <t>REF_REWARD</t>
  </si>
  <si>
    <t>Thưởng giới thiệu bạn bè</t>
  </si>
  <si>
    <t>VND/người</t>
  </si>
  <si>
    <t>Mỗi bên nhận sau khi người được mời hoàn tất đơn đầu tiên.</t>
  </si>
  <si>
    <t>Biểu phí và công cụ mô phỏng</t>
  </si>
  <si>
    <t>Nhập thông số ở khung A (ô vàng) để xem giá gợi ý, hoa hồng, dòng tiền; khung D kiểm thử công thức giá bằng 20 ca mẫu</t>
  </si>
  <si>
    <t>A. Đầu vào mô phỏng</t>
  </si>
  <si>
    <t>Khoảng cách (km)</t>
  </si>
  <si>
    <t>Quãng đường đường bộ</t>
  </si>
  <si>
    <t>Khối lượng (kg)</t>
  </si>
  <si>
    <t>Tối đa theo tham số MAX_WEIGHT</t>
  </si>
  <si>
    <t>Cạnh dài nhất (cm)</t>
  </si>
  <si>
    <t>Dùng xác định cỡ hàng</t>
  </si>
  <si>
    <t>Mức khẩn cấp</t>
  </si>
  <si>
    <t>Trong ngày</t>
  </si>
  <si>
    <t>Thường / Trong ngày / Gấp</t>
  </si>
  <si>
    <t>Giá trị khai báo (VND)</t>
  </si>
  <si>
    <t>Tối đa theo MAX_DECLARED</t>
  </si>
  <si>
    <t>Mua bảo hiểm</t>
  </si>
  <si>
    <t>Có</t>
  </si>
  <si>
    <t>Có / Không</t>
  </si>
  <si>
    <t>Hạng người giao</t>
  </si>
  <si>
    <t>Đồng</t>
  </si>
  <si>
    <t>Tân binh / Đồng / Bạc / Vàng / Kim cương</t>
  </si>
  <si>
    <t>Giá thống nhất so với giá gợi ý</t>
  </si>
  <si>
    <t>100% = đúng giá gợi ý; nằm trong biên chào giá</t>
  </si>
  <si>
    <t>Giảm giá khuyến mãi (VND)</t>
  </si>
  <si>
    <t>Nền tảng chịu chi phí</t>
  </si>
  <si>
    <t>B. Kết quả tính toán (công thức, không nhập)</t>
  </si>
  <si>
    <t>Kiểm tra giới hạn hàng hóa</t>
  </si>
  <si>
    <t>Khối lượng, cạnh dài, giá trị khai báo</t>
  </si>
  <si>
    <t>Phí cơ bản + quãng đường</t>
  </si>
  <si>
    <t>BASE_FARE + phần vượt BASE_KM × PER_KM + phần vượt LONG_KM × PER_KM_LONG</t>
  </si>
  <si>
    <t>Phụ phí khối lượng</t>
  </si>
  <si>
    <t>≤2 kg: 0; &gt;2–5; &gt;5–10; &gt;10–20 kg</t>
  </si>
  <si>
    <t>Cỡ hàng</t>
  </si>
  <si>
    <t>Theo cạnh dài nhất</t>
  </si>
  <si>
    <t>Phụ phí cỡ</t>
  </si>
  <si>
    <t>Tổng trước hệ số khẩn cấp</t>
  </si>
  <si>
    <t>Hệ số khẩn cấp</t>
  </si>
  <si>
    <t>Giá gợi ý (phí giao)</t>
  </si>
  <si>
    <t>Làm tròn lên bội số ROUND_FEE, không thấp hơn MIN_FARE</t>
  </si>
  <si>
    <t>BID_MIN × giá gợi ý</t>
  </si>
  <si>
    <t>BID_MAX × giá gợi ý</t>
  </si>
  <si>
    <t>Giá thống nhất (phí giao)</t>
  </si>
  <si>
    <t>Giá được ký quỹ và là cơ sở tính hoa hồng</t>
  </si>
  <si>
    <t>Kiểm tra biên giá chào</t>
  </si>
  <si>
    <t>Phí bảo hiểm</t>
  </si>
  <si>
    <t>INS_RATE × giá trị khai báo, tối thiểu INS_MIN</t>
  </si>
  <si>
    <t>Khuyến mãi áp dụng</t>
  </si>
  <si>
    <t>Không vượt phí giao</t>
  </si>
  <si>
    <t>Người gửi thanh toán (ký quỹ)</t>
  </si>
  <si>
    <t>Phí giao + bảo hiểm − khuyến mãi</t>
  </si>
  <si>
    <t>Tỷ lệ hoa hồng theo hạng</t>
  </si>
  <si>
    <t>Tra bảng khung C</t>
  </si>
  <si>
    <t>Hoa hồng nền tảng</t>
  </si>
  <si>
    <t>Làm tròn xuống đến đồng</t>
  </si>
  <si>
    <t>Khấu trừ thuế (nếu cấu hình)</t>
  </si>
  <si>
    <t>Mặc định 0%</t>
  </si>
  <si>
    <t>Thu nhập ròng của người giao</t>
  </si>
  <si>
    <t>Phần lẻ do làm tròn thuộc người giao</t>
  </si>
  <si>
    <t>Trích Quỹ bảo đảm từ hoa hồng</t>
  </si>
  <si>
    <t>FUND_SHARE × hoa hồng</t>
  </si>
  <si>
    <t>Quỹ bảo đảm nhận (gồm bảo hiểm)</t>
  </si>
  <si>
    <t>Doanh thu nền tảng (trước khuyến mãi)</t>
  </si>
  <si>
    <t>Doanh thu nền tảng sau khuyến mãi</t>
  </si>
  <si>
    <t>Chênh lệch cân đối</t>
  </si>
  <si>
    <t>Người gửi trả + chi phí khuyến mãi = thu nhập ròng + thuế + doanh thu + quỹ; phải bằng 0</t>
  </si>
  <si>
    <t>Trạng thái cân đối</t>
  </si>
  <si>
    <t>C. Bảng hoa hồng theo hạng (lấy từ sheet 06)</t>
  </si>
  <si>
    <t>Hạng</t>
  </si>
  <si>
    <t>Tỷ lệ hoa hồng</t>
  </si>
  <si>
    <t>Tân binh</t>
  </si>
  <si>
    <t>Bạc</t>
  </si>
  <si>
    <t>Vàng</t>
  </si>
  <si>
    <t>Kim cương</t>
  </si>
  <si>
    <t>D. Kiểm thử công thức giá: 20 ca mẫu (kỳ vọng tính độc lập, so với công thức trong sheet)</t>
  </si>
  <si>
    <t>Ca kiểm thử</t>
  </si>
  <si>
    <t>Mã ca</t>
  </si>
  <si>
    <t>Mô tả đầu vào</t>
  </si>
  <si>
    <t>Giá kỳ vọng</t>
  </si>
  <si>
    <t>Giá trong công thức</t>
  </si>
  <si>
    <t>Kết quả</t>
  </si>
  <si>
    <t>Cạnh dài (cm)</t>
  </si>
  <si>
    <t>Khẩn cấp</t>
  </si>
  <si>
    <t>Ca 01</t>
  </si>
  <si>
    <t>T01</t>
  </si>
  <si>
    <t>1 km, 1 kg, cạnh 20 cm, Thường</t>
  </si>
  <si>
    <t>Thường</t>
  </si>
  <si>
    <t>Ca 02</t>
  </si>
  <si>
    <t>T02</t>
  </si>
  <si>
    <t>2 km, 2 kg, cạnh 30 cm, Thường</t>
  </si>
  <si>
    <t>Ca 03</t>
  </si>
  <si>
    <t>T03</t>
  </si>
  <si>
    <t>3 km, 2.5 kg, cạnh 30 cm, Thường</t>
  </si>
  <si>
    <t>Ca 04</t>
  </si>
  <si>
    <t>T04</t>
  </si>
  <si>
    <t>5 km, 5 kg, cạnh 50 cm, Thường</t>
  </si>
  <si>
    <t>Ca 05</t>
  </si>
  <si>
    <t>T05</t>
  </si>
  <si>
    <t>5 km, 5.1 kg, cạnh 51 cm, Thường</t>
  </si>
  <si>
    <t>Ca 06</t>
  </si>
  <si>
    <t>T06</t>
  </si>
  <si>
    <t>8 km, 10 kg, cạnh 50 cm, Trong ngày</t>
  </si>
  <si>
    <t>Ca 07</t>
  </si>
  <si>
    <t>T07</t>
  </si>
  <si>
    <t>8 km, 10.5 kg, cạnh 60 cm, Gấp</t>
  </si>
  <si>
    <t>Gấp</t>
  </si>
  <si>
    <t>Ca 08</t>
  </si>
  <si>
    <t>T08</t>
  </si>
  <si>
    <t>12 km, 20 kg, cạnh 80 cm, Thường</t>
  </si>
  <si>
    <t>Ca 09</t>
  </si>
  <si>
    <t>T09</t>
  </si>
  <si>
    <t>15 km, 3 kg, cạnh 25 cm, Gấp</t>
  </si>
  <si>
    <t>Ca 10</t>
  </si>
  <si>
    <t>T10</t>
  </si>
  <si>
    <t>30 km, 7 kg, cạnh 45 cm, Trong ngày</t>
  </si>
  <si>
    <t>Ca 11</t>
  </si>
  <si>
    <t>T11</t>
  </si>
  <si>
    <t>50 km, 2 kg, cạnh 30 cm, Thường</t>
  </si>
  <si>
    <t>Ca 12</t>
  </si>
  <si>
    <t>T12</t>
  </si>
  <si>
    <t>51 km, 2 kg, cạnh 30 cm, Thường</t>
  </si>
  <si>
    <t>Ca 13</t>
  </si>
  <si>
    <t>T13</t>
  </si>
  <si>
    <t>80 km, 15 kg, cạnh 70 cm, Thường</t>
  </si>
  <si>
    <t>Ca 14</t>
  </si>
  <si>
    <t>T14</t>
  </si>
  <si>
    <t>100 km, 20 kg, cạnh 80 cm, Gấp</t>
  </si>
  <si>
    <t>Ca 15</t>
  </si>
  <si>
    <t>T15</t>
  </si>
  <si>
    <t>150 km, 20 kg, cạnh 80 cm, Thường</t>
  </si>
  <si>
    <t>Ca 16</t>
  </si>
  <si>
    <t>T16</t>
  </si>
  <si>
    <t>0.5 km, 0.2 kg, cạnh 10 cm, Thường</t>
  </si>
  <si>
    <t>Ca 17</t>
  </si>
  <si>
    <t>T17</t>
  </si>
  <si>
    <t>2.5 km, 1 kg, cạnh 30 cm, Gấp</t>
  </si>
  <si>
    <t>Ca 18</t>
  </si>
  <si>
    <t>T18</t>
  </si>
  <si>
    <t>7 km, 4.9 kg, cạnh 30 cm, Trong ngày</t>
  </si>
  <si>
    <t>Ca 19</t>
  </si>
  <si>
    <t>T19</t>
  </si>
  <si>
    <t>20 km, 9.9 kg, cạnh 50 cm, Thường</t>
  </si>
  <si>
    <t>Ca 20</t>
  </si>
  <si>
    <t>T20</t>
  </si>
  <si>
    <t>35 km, 12 kg, cạnh 75 cm, Trong ngày</t>
  </si>
  <si>
    <t>Tổng kết</t>
  </si>
  <si>
    <t>Trạng thái và chuyển trạng thái</t>
  </si>
  <si>
    <t>Danh mục trạng thái theo thực thể; bảng chuyển trạng thái của đơn, ký quỹ, yêu cầu rút, chào giá, giao dịch VNPay</t>
  </si>
  <si>
    <t>1. Danh mục trạng thái</t>
  </si>
  <si>
    <t>Thực thể</t>
  </si>
  <si>
    <t>Mã trạng thái</t>
  </si>
  <si>
    <t>Tên hiển thị</t>
  </si>
  <si>
    <t>Kết thúc?</t>
  </si>
  <si>
    <t>Đơn</t>
  </si>
  <si>
    <t>DRAFT</t>
  </si>
  <si>
    <t>Nháp</t>
  </si>
  <si>
    <t>Người gửi đang soạn, chưa đăng.</t>
  </si>
  <si>
    <t>Không</t>
  </si>
  <si>
    <t>PENDING_REVIEW</t>
  </si>
  <si>
    <t>Chờ kiểm duyệt</t>
  </si>
  <si>
    <t>Đã đăng, đang kiểm duyệt tự động hoặc thủ công.</t>
  </si>
  <si>
    <t>REJECTED</t>
  </si>
  <si>
    <t>Bị từ chối</t>
  </si>
  <si>
    <t>Kiểm duyệt từ chối do vi phạm.</t>
  </si>
  <si>
    <t>OPEN</t>
  </si>
  <si>
    <t>Đang mở</t>
  </si>
  <si>
    <t>Hiển thị trên sàn, chờ người giao.</t>
  </si>
  <si>
    <t>AWAITING_PAYMENT</t>
  </si>
  <si>
    <t>Chờ ký quỹ</t>
  </si>
  <si>
    <t>Đã chọn người giao, chờ người gửi ký quỹ trong thời gian giữ chỗ.</t>
  </si>
  <si>
    <t>ASSIGNED</t>
  </si>
  <si>
    <t>Đã ký quỹ</t>
  </si>
  <si>
    <t>Tiền đã ký quỹ, chờ người giao lấy hàng.</t>
  </si>
  <si>
    <t>PICKED_UP</t>
  </si>
  <si>
    <t>Đã lấy hàng</t>
  </si>
  <si>
    <t>Người giao đã xác nhận lấy hàng.</t>
  </si>
  <si>
    <t>IN_TRANSIT</t>
  </si>
  <si>
    <t>Đang giao</t>
  </si>
  <si>
    <t>Người giao đang di chuyển đến điểm giao.</t>
  </si>
  <si>
    <t>DELIVERED</t>
  </si>
  <si>
    <t>Đã giao</t>
  </si>
  <si>
    <t>Đã xác nhận giao; chờ giải ngân hoặc khiếu nại.</t>
  </si>
  <si>
    <t>COMPLETED</t>
  </si>
  <si>
    <t>Hoàn tất</t>
  </si>
  <si>
    <t>Đã giải ngân; có thể đánh giá.</t>
  </si>
  <si>
    <t>CANCELLED</t>
  </si>
  <si>
    <t>Đã hủy</t>
  </si>
  <si>
    <t>Đơn bị hủy theo quy tắc hủy.</t>
  </si>
  <si>
    <t>EXPIRED</t>
  </si>
  <si>
    <t>Hết hạn</t>
  </si>
  <si>
    <t>Hết thời gian mở mà không có người giao.</t>
  </si>
  <si>
    <t>DELIVERY_FAILED</t>
  </si>
  <si>
    <t>Giao thất bại</t>
  </si>
  <si>
    <t>Không giao được; chờ chuyển sang hoàn hàng.</t>
  </si>
  <si>
    <t>RETURNING</t>
  </si>
  <si>
    <t>Đang hoàn hàng</t>
  </si>
  <si>
    <t>Người giao đang trả hàng về người gửi.</t>
  </si>
  <si>
    <t>RETURNED</t>
  </si>
  <si>
    <t>Đã hoàn hàng</t>
  </si>
  <si>
    <t>Người gửi đã nhận lại hàng; đã tất toán phí.</t>
  </si>
  <si>
    <t>DISPUTED</t>
  </si>
  <si>
    <t>Đang khiếu nại</t>
  </si>
  <si>
    <t>Có khiếu nại; ký quỹ bị đóng băng.</t>
  </si>
  <si>
    <t>Chào giá</t>
  </si>
  <si>
    <t>PENDING</t>
  </si>
  <si>
    <t>Chờ phản hồi</t>
  </si>
  <si>
    <t>Chào giá hiệu lực, chờ người gửi.</t>
  </si>
  <si>
    <t>ACCEPTED</t>
  </si>
  <si>
    <t>Đã chấp nhận</t>
  </si>
  <si>
    <t>Người gửi chấp nhận.</t>
  </si>
  <si>
    <t>Người gửi từ chối hoặc hệ thống từ chối do chọn chào giá khác.</t>
  </si>
  <si>
    <t>COUNTERED</t>
  </si>
  <si>
    <t>Đã phản giá</t>
  </si>
  <si>
    <t>Người gửi đề xuất giá khác; sinh chào giá con.</t>
  </si>
  <si>
    <t>Quá thời hạn hiệu lực.</t>
  </si>
  <si>
    <t>WITHDRAWN</t>
  </si>
  <si>
    <t>Đã rút</t>
  </si>
  <si>
    <t>Người giao rút hoặc bị thay thế bởi chào giá mới.</t>
  </si>
  <si>
    <t>Ký quỹ</t>
  </si>
  <si>
    <t>HELD</t>
  </si>
  <si>
    <t>Đang giữ</t>
  </si>
  <si>
    <t>Tiền ký quỹ đang được giữ.</t>
  </si>
  <si>
    <t>RELEASE_PENDING</t>
  </si>
  <si>
    <t>Chờ giải ngân</t>
  </si>
  <si>
    <t>Đơn đã giao, đang trong thời gian chờ giải ngân.</t>
  </si>
  <si>
    <t>FROZEN</t>
  </si>
  <si>
    <t>Đóng băng</t>
  </si>
  <si>
    <t>Có khiếu nại, tạm dừng mọi giải ngân/hoàn tiền.</t>
  </si>
  <si>
    <t>RELEASED</t>
  </si>
  <si>
    <t>Đã giải ngân</t>
  </si>
  <si>
    <t>Đã chuyển cho người giao và nền tảng.</t>
  </si>
  <si>
    <t>REFUNDED</t>
  </si>
  <si>
    <t>Đã hoàn</t>
  </si>
  <si>
    <t>Đã hoàn toàn bộ cho người gửi.</t>
  </si>
  <si>
    <t>PARTIALLY_REFUNDED</t>
  </si>
  <si>
    <t>Hoàn một phần</t>
  </si>
  <si>
    <t>Chia theo phán quyết hoặc phí hủy/hoàn.</t>
  </si>
  <si>
    <t>Giao dịch VNPay</t>
  </si>
  <si>
    <t>CREATED</t>
  </si>
  <si>
    <t>Mới tạo</t>
  </si>
  <si>
    <t>Đã tạo bản ghi, chưa chuyển sang VNPay.</t>
  </si>
  <si>
    <t>Chờ thanh toán</t>
  </si>
  <si>
    <t>Đã chuyển hướng sang VNPay.</t>
  </si>
  <si>
    <t>SUCCESS</t>
  </si>
  <si>
    <t>Thành công</t>
  </si>
  <si>
    <t>IPN hợp lệ xác nhận thành công.</t>
  </si>
  <si>
    <t>FAILED</t>
  </si>
  <si>
    <t>Thất bại</t>
  </si>
  <si>
    <t>VNPay báo thất bại hoặc người dùng hủy.</t>
  </si>
  <si>
    <t>Quá thời hạn liên kết mà không có kết quả.</t>
  </si>
  <si>
    <t>MISMATCH</t>
  </si>
  <si>
    <t>Lệch cần xử lý</t>
  </si>
  <si>
    <t>Số tiền/trạng thái lệch với VNPay, chờ Admin.</t>
  </si>
  <si>
    <t>REFUND_PENDING</t>
  </si>
  <si>
    <t>Chờ hoàn</t>
  </si>
  <si>
    <t>Đã gửi yêu cầu hoàn tiền tới VNPay.</t>
  </si>
  <si>
    <t>VNPay xác nhận hoàn toàn phần.</t>
  </si>
  <si>
    <t>PARTIAL_REFUNDED</t>
  </si>
  <si>
    <t>VNPay xác nhận hoàn một phần.</t>
  </si>
  <si>
    <t>Yêu cầu rút</t>
  </si>
  <si>
    <t>REQUESTED</t>
  </si>
  <si>
    <t>Đã yêu cầu</t>
  </si>
  <si>
    <t>Người dùng tạo yêu cầu; tiền chuyển sang chờ rút.</t>
  </si>
  <si>
    <t>UNDER_REVIEW</t>
  </si>
  <si>
    <t>Đang duyệt</t>
  </si>
  <si>
    <t>Trong hàng đợi của Admin.</t>
  </si>
  <si>
    <t>APPROVED_L1</t>
  </si>
  <si>
    <t>Đã duyệt cấp 1</t>
  </si>
  <si>
    <t>Chờ duyệt cấp 2 (khi vượt ngưỡng).</t>
  </si>
  <si>
    <t>APPROVED</t>
  </si>
  <si>
    <t>Đã duyệt</t>
  </si>
  <si>
    <t>Đủ cấp duyệt, chờ chi.</t>
  </si>
  <si>
    <t>PROCESSING</t>
  </si>
  <si>
    <t>Đang chi</t>
  </si>
  <si>
    <t>Đã gửi PayoutProvider hoặc xuất lệnh chi.</t>
  </si>
  <si>
    <t>PAID</t>
  </si>
  <si>
    <t>Đã chi</t>
  </si>
  <si>
    <t>Có mã tham chiếu chi thành công.</t>
  </si>
  <si>
    <t>Admin từ chối; hoàn tiền về ví khả dụng.</t>
  </si>
  <si>
    <t>Chi thất bại</t>
  </si>
  <si>
    <t>Chi không thành công; hoàn tiền về ví.</t>
  </si>
  <si>
    <t>Người dùng hủy khi chưa duyệt; hoàn ví.</t>
  </si>
  <si>
    <t>NOT_SUBMITTED</t>
  </si>
  <si>
    <t>Chưa nộp</t>
  </si>
  <si>
    <t>Chưa gửi hồ sơ.</t>
  </si>
  <si>
    <t>Chờ duyệt</t>
  </si>
  <si>
    <t>Đã gửi, chờ Kiểm duyệt.</t>
  </si>
  <si>
    <t>Được xác minh.</t>
  </si>
  <si>
    <t>Có lý do; có thể nộp lại.</t>
  </si>
  <si>
    <t>Tài khoản</t>
  </si>
  <si>
    <t>PENDING_VERIFICATION</t>
  </si>
  <si>
    <t>Chờ xác thực</t>
  </si>
  <si>
    <t>Chưa xác thực OTP.</t>
  </si>
  <si>
    <t>ACTIVE</t>
  </si>
  <si>
    <t>Hoạt động</t>
  </si>
  <si>
    <t>Sử dụng bình thường.</t>
  </si>
  <si>
    <t>RESTRICTED</t>
  </si>
  <si>
    <t>Bị hạn chế</t>
  </si>
  <si>
    <t>Hạn chế nhận đơn hoặc giao dịch.</t>
  </si>
  <si>
    <t>LOCKED</t>
  </si>
  <si>
    <t>Bị khóa</t>
  </si>
  <si>
    <t>Không đăng nhập được.</t>
  </si>
  <si>
    <t>CLOSED</t>
  </si>
  <si>
    <t>Đã đóng</t>
  </si>
  <si>
    <t>Đã xóa/ẩn danh theo yêu cầu.</t>
  </si>
  <si>
    <t>Khiếu nại</t>
  </si>
  <si>
    <t>Mới mở</t>
  </si>
  <si>
    <t>Vừa tạo, chờ tiếp nhận.</t>
  </si>
  <si>
    <t>INVESTIGATING</t>
  </si>
  <si>
    <t>Đang xử lý</t>
  </si>
  <si>
    <t>Kiểm duyệt đang xem xét.</t>
  </si>
  <si>
    <t>AWAITING_INFO</t>
  </si>
  <si>
    <t>Chờ bổ sung</t>
  </si>
  <si>
    <t>Chờ bằng chứng từ các bên.</t>
  </si>
  <si>
    <t>RESOLVED</t>
  </si>
  <si>
    <t>Đã phán quyết</t>
  </si>
  <si>
    <t>Có phán quyết, trong thời gian kháng nghị.</t>
  </si>
  <si>
    <t>APPEALED</t>
  </si>
  <si>
    <t>Đang kháng nghị</t>
  </si>
  <si>
    <t>Admin xem xét lại.</t>
  </si>
  <si>
    <t>Kết thúc, đã thực hiện bút toán.</t>
  </si>
  <si>
    <t>SCHEDULED</t>
  </si>
  <si>
    <t>Đã lên lịch</t>
  </si>
  <si>
    <t>Chờ khởi hành.</t>
  </si>
  <si>
    <t>Đang đi</t>
  </si>
  <si>
    <t>Đã khởi hành.</t>
  </si>
  <si>
    <t>PAUSED</t>
  </si>
  <si>
    <t>Tạm dừng nhận đơn</t>
  </si>
  <si>
    <t>Không nhận thêm đơn mới.</t>
  </si>
  <si>
    <t>Hoàn thành</t>
  </si>
  <si>
    <t>Đã kết thúc.</t>
  </si>
  <si>
    <t>Đã hủy.</t>
  </si>
  <si>
    <t>2. Bảng chuyển trạng thái</t>
  </si>
  <si>
    <t>Máy trạng thái</t>
  </si>
  <si>
    <t>Từ</t>
  </si>
  <si>
    <t>Sự kiện / hành động</t>
  </si>
  <si>
    <t>Đến</t>
  </si>
  <si>
    <t>Điều kiện (guard)</t>
  </si>
  <si>
    <t>Tác động đi kèm</t>
  </si>
  <si>
    <t>ĐƠN</t>
  </si>
  <si>
    <t>(mới)</t>
  </si>
  <si>
    <t>Lưu nháp</t>
  </si>
  <si>
    <t>Người gửi hợp lệ</t>
  </si>
  <si>
    <t>Chưa kiểm duyệt, chưa lên sàn</t>
  </si>
  <si>
    <t>Đăng đơn</t>
  </si>
  <si>
    <t>Thông tin hợp lệ, trong giới hạn hàng hóa, chưa vượt số đơn mở</t>
  </si>
  <si>
    <t>Sinh mã vận đơn; chạy kiểm duyệt tự động</t>
  </si>
  <si>
    <t>Kiểm duyệt đạt</t>
  </si>
  <si>
    <t>Hệ thống/Kiểm duyệt</t>
  </si>
  <si>
    <t>Không vi phạm danh mục/từ khóa</t>
  </si>
  <si>
    <t>Đơn lên sàn; thông báo người giao đăng ký khu vực</t>
  </si>
  <si>
    <t>Kiểm duyệt từ chối</t>
  </si>
  <si>
    <t>Có lý do</t>
  </si>
  <si>
    <t>Thông báo người gửi</t>
  </si>
  <si>
    <t>Người gửi hủy</t>
  </si>
  <si>
    <t>Chưa duyệt xong</t>
  </si>
  <si>
    <t>Không phí</t>
  </si>
  <si>
    <t>Nhận đơn / chấp nhận chào giá</t>
  </si>
  <si>
    <t>Người giao / Người gửi</t>
  </si>
  <si>
    <t>Người giao đủ điều kiện hạng, hạn mức, KYC; chỉ 1 người thắng</t>
  </si>
  <si>
    <t>Khóa người giao; chốt giá; tự từ chối chào giá khác; giữ chỗ theo PAY_HOLD</t>
  </si>
  <si>
    <t>Hết hạn mở</t>
  </si>
  <si>
    <t>Quá thời hạn mở đơn</t>
  </si>
  <si>
    <t>Chưa có người giao</t>
  </si>
  <si>
    <t>Ký quỹ thành công</t>
  </si>
  <si>
    <t>Số tiền khớp, còn trong thời gian giữ chỗ</t>
  </si>
  <si>
    <t>Ghi bút toán ký quỹ; khóa hoa hồng theo hạng; hiện SĐT/địa chỉ chi tiết cho người giao</t>
  </si>
  <si>
    <t>UC-35, UC-42</t>
  </si>
  <si>
    <t>Hết giữ chỗ hoặc người gửi từ bỏ</t>
  </si>
  <si>
    <t>Hệ thống/Người gửi</t>
  </si>
  <si>
    <t>Quá thời gian ký quỹ</t>
  </si>
  <si>
    <t>Gỡ người giao; chào giá liên quan thành hết hạn; thông báo người giao</t>
  </si>
  <si>
    <t>Chưa ký quỹ</t>
  </si>
  <si>
    <t>Chưa lấy hàng</t>
  </si>
  <si>
    <t>Phí hủy theo quy tắc trả cho người giao; hoàn phần còn lại vào ví</t>
  </si>
  <si>
    <t>Người giao hủy</t>
  </si>
  <si>
    <t>Hoàn toàn bộ ký quỹ vào ví người gửi; trừ điểm uy tín; đơn quay lại sàn</t>
  </si>
  <si>
    <t>Quá giờ hẹn + PICKUP_GRACE</t>
  </si>
  <si>
    <t>Hoàn đủ ký quỹ, không phí hủy; trừ điểm người giao</t>
  </si>
  <si>
    <t>Xác nhận lấy hàng</t>
  </si>
  <si>
    <t>QR/mã lấy hàng đúng và có ảnh hàng</t>
  </si>
  <si>
    <t>Bắt đầu chia sẻ vị trí; ghi bằng chứng lấy hàng</t>
  </si>
  <si>
    <t>Bắt đầu di chuyển</t>
  </si>
  <si>
    <t>Đã bật chia sẻ vị trí</t>
  </si>
  <si>
    <t>Gửi OTP giao hàng cho người nhận; gửi liên kết theo dõi</t>
  </si>
  <si>
    <t>OTP/QR đúng, hoặc giao ngoại lệ có ảnh, tọa độ, lý do</t>
  </si>
  <si>
    <t>Ngừng chia sẻ vị trí; ký quỹ → RELEASE_PENDING</t>
  </si>
  <si>
    <t>Đủ bằng chứng liên hệ theo quy tắc</t>
  </si>
  <si>
    <t>Bắt đầu hoàn hàng</t>
  </si>
  <si>
    <t>Tính phí hoàn; giữ thêm từ ví người gửi</t>
  </si>
  <si>
    <t>Người gửi xác nhận nhận lại</t>
  </si>
  <si>
    <t>Mã hoàn hàng đúng</t>
  </si>
  <si>
    <t>Tất toán: phí giao + phí hoàn cho người giao</t>
  </si>
  <si>
    <t>UC-30, UC-36</t>
  </si>
  <si>
    <t>Giải ngân</t>
  </si>
  <si>
    <t>Hết RELEASE_DELAY (hoặc AUTO_RELEASE nếu giao ngoại lệ) và không khiếu nại</t>
  </si>
  <si>
    <t>Bút toán giải ngân, hoa hồng, quỹ; mở đánh giá</t>
  </si>
  <si>
    <t>Người gửi/Người giao</t>
  </si>
  <si>
    <t>Trong DISPUTE_WINDOW</t>
  </si>
  <si>
    <t>Ký quỹ → FROZEN</t>
  </si>
  <si>
    <t>Khiếu nại sau giải ngân</t>
  </si>
  <si>
    <t>Chuẩn bị thu hồi hoặc dùng Quỹ bảo đảm theo phán quyết</t>
  </si>
  <si>
    <t>Phán quyết</t>
  </si>
  <si>
    <t>Có phán quyết và lý do</t>
  </si>
  <si>
    <t>Thực hiện bút toán theo phán quyết</t>
  </si>
  <si>
    <t>UC-51, UC-52</t>
  </si>
  <si>
    <t>(trừ trạng thái kết thúc)</t>
  </si>
  <si>
    <t>Admin hủy xử lý ngoại lệ</t>
  </si>
  <si>
    <t>Khóa tài khoản/vi phạm nghiêm trọng</t>
  </si>
  <si>
    <t>Hoàn tiền theo quy tắc; ghi audit</t>
  </si>
  <si>
    <t>KÝ QUỸ</t>
  </si>
  <si>
    <t>Đơn chuyển ASSIGNED</t>
  </si>
  <si>
    <t>Bút toán ví → ESCROW</t>
  </si>
  <si>
    <t>Đơn đã giao</t>
  </si>
  <si>
    <t>Đơn → DELIVERED</t>
  </si>
  <si>
    <t>Đặt thời điểm giải ngân</t>
  </si>
  <si>
    <t>Hủy/hết hạn/quá hạn lấy hàng</t>
  </si>
  <si>
    <t>Theo quy tắc hủy</t>
  </si>
  <si>
    <t>Hoàn ví; phí hủy (nếu có) chuyển người giao → có thể PARTIALLY_REFUNDED</t>
  </si>
  <si>
    <t>Hết thời gian chờ</t>
  </si>
  <si>
    <t>Không khiếu nại</t>
  </si>
  <si>
    <t>ESCROW → ví người giao, doanh thu nền tảng, quỹ bảo đảm</t>
  </si>
  <si>
    <t>Khiếu nại hợp lệ</t>
  </si>
  <si>
    <t>Dừng bộ đếm giải ngân</t>
  </si>
  <si>
    <t>RELEASED / REFUNDED / PARTIALLY_REFUNDED</t>
  </si>
  <si>
    <t>Theo phán quyết</t>
  </si>
  <si>
    <t>Bút toán tương ứng</t>
  </si>
  <si>
    <t>YÊU CẦU RÚT</t>
  </si>
  <si>
    <t>Tạo yêu cầu</t>
  </si>
  <si>
    <t>Đủ điều kiện rút</t>
  </si>
  <si>
    <t>Khả dụng → chờ rút</t>
  </si>
  <si>
    <t>Đưa vào hàng đợi</t>
  </si>
  <si>
    <t>Thông báo Admin</t>
  </si>
  <si>
    <t>Duyệt cấp 1</t>
  </si>
  <si>
    <t>Admin A</t>
  </si>
  <si>
    <t>Vượt ngưỡng DUAL_APPROVE</t>
  </si>
  <si>
    <t>Ghi audit</t>
  </si>
  <si>
    <t>Duyệt cấp 2</t>
  </si>
  <si>
    <t>Admin B (khác Admin A)</t>
  </si>
  <si>
    <t>Admin B ≠ Admin A</t>
  </si>
  <si>
    <t>Duyệt (dưới ngưỡng)</t>
  </si>
  <si>
    <t>Dưới ngưỡng DUAL_APPROVE</t>
  </si>
  <si>
    <t>Gửi chi</t>
  </si>
  <si>
    <t>Hệ thống/Admin</t>
  </si>
  <si>
    <t>Gọi PayoutProvider hoặc xuất lệnh chi</t>
  </si>
  <si>
    <t>Chi thành công</t>
  </si>
  <si>
    <t>Có mã tham chiếu</t>
  </si>
  <si>
    <t>Chuyển chờ rút → đã rút; thông báo</t>
  </si>
  <si>
    <t>Có nguyên nhân</t>
  </si>
  <si>
    <t>Hoàn chờ rút → khả dụng</t>
  </si>
  <si>
    <t>Từ chối</t>
  </si>
  <si>
    <t>REQUESTED / UNDER_REVIEW</t>
  </si>
  <si>
    <t>Người dùng hủy</t>
  </si>
  <si>
    <t>Chưa duyệt</t>
  </si>
  <si>
    <t>CHÀO GIÁ</t>
  </si>
  <si>
    <t>Trong biên giá</t>
  </si>
  <si>
    <t>Thay thế chào giá cũ → WITHDRAWN</t>
  </si>
  <si>
    <t>Chấp nhận</t>
  </si>
  <si>
    <t>Đơn → AWAITING_PAYMENT; chào giá khác → REJECTED</t>
  </si>
  <si>
    <t>Thông báo người giao</t>
  </si>
  <si>
    <t>Phản giá</t>
  </si>
  <si>
    <t>Còn vòng, trong biên</t>
  </si>
  <si>
    <t>Sinh chào giá con ở phía người giao</t>
  </si>
  <si>
    <t>Quá BID_TTL</t>
  </si>
  <si>
    <t>GIAO DỊCH VNPAY</t>
  </si>
  <si>
    <t>Tạo giao dịch</t>
  </si>
  <si>
    <t>Qua kiểm tra hạn mức</t>
  </si>
  <si>
    <t>Sinh mã tham chiếu duy nhất</t>
  </si>
  <si>
    <t>Chuyển hướng sang VNPay</t>
  </si>
  <si>
    <t>Đặt thời hạn VNPAY_EXPIRE</t>
  </si>
  <si>
    <t>IPN thành công</t>
  </si>
  <si>
    <t>Chữ ký đúng; số tiền và mã tham chiếu khớp</t>
  </si>
  <si>
    <t>Ghi sổ cái idempotent</t>
  </si>
  <si>
    <t>IPN thất bại / hủy</t>
  </si>
  <si>
    <t>Chữ ký đúng</t>
  </si>
  <si>
    <t>Không ghi sổ cái</t>
  </si>
  <si>
    <t>Quá hạn, truy vấn xác nhận không có kết quả</t>
  </si>
  <si>
    <t>Quá VNPAY_EXPIRE</t>
  </si>
  <si>
    <t>Số tiền lệch</t>
  </si>
  <si>
    <t>Số tiền IPN ≠ số tiền giao dịch</t>
  </si>
  <si>
    <t>Không ghi sổ cái; cảnh báo Admin</t>
  </si>
  <si>
    <t>UC-42, UC-43</t>
  </si>
  <si>
    <t>Yêu cầu hoàn về nguồn</t>
  </si>
  <si>
    <t>Giao dịch gốc thanh toán trực tiếp</t>
  </si>
  <si>
    <t>Gọi API hoàn tiền VNPay</t>
  </si>
  <si>
    <t>VNPay xác nhận hoàn</t>
  </si>
  <si>
    <t>REFUNDED / PARTIAL_REFUNDED</t>
  </si>
  <si>
    <t>Cập nhật sổ cái</t>
  </si>
  <si>
    <t>Từ điển dữ liệu mức thực thể</t>
  </si>
  <si>
    <t>SQL Server cho dữ liệu giao dịch và nghiệp vụ; MongoDB cho dữ liệu sự kiện, ghi nhiều và có TTL. Thiết kế chi tiết ở tài liệu SPEC.</t>
  </si>
  <si>
    <t>Bảng / Collection</t>
  </si>
  <si>
    <t>Kho dữ liệu</t>
  </si>
  <si>
    <t>Trường chính</t>
  </si>
  <si>
    <t>Quan hệ chính</t>
  </si>
  <si>
    <t>Ghi chú thiết kế</t>
  </si>
  <si>
    <t>DB-001</t>
  </si>
  <si>
    <t>users</t>
  </si>
  <si>
    <t>SQL Server</t>
  </si>
  <si>
    <t>Tài khoản đăng nhập</t>
  </si>
  <si>
    <t>id, email, phone, password_hash, status, email_verified_at, phone_verified_at, fpt_badge, created_at, version</t>
  </si>
  <si>
    <t>1–1 user_profiles; N–N roles</t>
  </si>
  <si>
    <t>UC-01..06</t>
  </si>
  <si>
    <t>Email/SĐT unique; xóa mềm; không lưu mật khẩu rõ</t>
  </si>
  <si>
    <t>DB-002</t>
  </si>
  <si>
    <t>roles, user_roles</t>
  </si>
  <si>
    <t>Vai trò và gán vai trò</t>
  </si>
  <si>
    <t>role.code (SENDER, COURIER, MODERATOR, ADMIN), user_id, role_id</t>
  </si>
  <si>
    <t>N–N users</t>
  </si>
  <si>
    <t>UC-03, UC-10, UC-57</t>
  </si>
  <si>
    <t>Một user có thể có nhiều vai trò</t>
  </si>
  <si>
    <t>DB-003</t>
  </si>
  <si>
    <t>user_profiles</t>
  </si>
  <si>
    <t>Hồ sơ cá nhân</t>
  </si>
  <si>
    <t>user_id, full_name, dob, avatar_url, bio, emergency_contact</t>
  </si>
  <si>
    <t>1–1 users</t>
  </si>
  <si>
    <t>Họ tên dùng đối chiếu KYC và tài khoản ngân hàng</t>
  </si>
  <si>
    <t>DB-004</t>
  </si>
  <si>
    <t>consents</t>
  </si>
  <si>
    <t>Ghi nhận đồng ý chính sách</t>
  </si>
  <si>
    <t>user_id, policy_type, policy_version, accepted_at, ip</t>
  </si>
  <si>
    <t>N–1 users</t>
  </si>
  <si>
    <t>Bằng chứng tuân thủ dữ liệu cá nhân</t>
  </si>
  <si>
    <t>DB-005</t>
  </si>
  <si>
    <t>addresses</t>
  </si>
  <si>
    <t>user_id, label, address_text, lat, lng, is_default</t>
  </si>
  <si>
    <t>Tọa độ lưu kiểu số thập phân</t>
  </si>
  <si>
    <t>DB-006</t>
  </si>
  <si>
    <t>sessions (refresh_tokens)</t>
  </si>
  <si>
    <t>Phiên đăng nhập và refresh token</t>
  </si>
  <si>
    <t>user_id, token_hash, device_info, ip, expires_at, revoked_at, replaced_by</t>
  </si>
  <si>
    <t>Lưu hash; hỗ trợ phát hiện tái sử dụng token</t>
  </si>
  <si>
    <t>DB-007</t>
  </si>
  <si>
    <t>otp_codes</t>
  </si>
  <si>
    <t>Mã OTP</t>
  </si>
  <si>
    <t>target, purpose, code_hash, expires_at, tries, used_at</t>
  </si>
  <si>
    <t>Lưu hash; dọn dẹp theo hạn</t>
  </si>
  <si>
    <t>DB-008</t>
  </si>
  <si>
    <t>kyc_requests</t>
  </si>
  <si>
    <t>Hồ sơ xác minh</t>
  </si>
  <si>
    <t>user_id, id_number_hash, id_number_enc, status, reviewer_id, reject_reason, submitted_at, reviewed_at</t>
  </si>
  <si>
    <t>N–1 users; 1–N kyc_files</t>
  </si>
  <si>
    <t>Chỉ mục unique trên id_number_hash cho hồ sơ đã duyệt</t>
  </si>
  <si>
    <t>DB-009</t>
  </si>
  <si>
    <t>kyc_files</t>
  </si>
  <si>
    <t>Tệp ảnh KYC (đã mã hóa)</t>
  </si>
  <si>
    <t>kyc_id, type, storage_key, checksum</t>
  </si>
  <si>
    <t>N–1 kyc_requests</t>
  </si>
  <si>
    <t>Mã hóa AES-GCM; liên kết truy cập có thời hạn</t>
  </si>
  <si>
    <t>DB-010</t>
  </si>
  <si>
    <t>courier_profiles</t>
  </si>
  <si>
    <t>Hồ sơ người giao</t>
  </si>
  <si>
    <t>user_id, vehicle_type, areas, available_hours, tier, trust_score, completed_orders, restricted_until</t>
  </si>
  <si>
    <t>UC-10, UC-49</t>
  </si>
  <si>
    <t>Tier và điểm được cập nhật bởi job UC-49</t>
  </si>
  <si>
    <t>DB-011</t>
  </si>
  <si>
    <t>bank_accounts</t>
  </si>
  <si>
    <t>Tài khoản ngân hàng nhận tiền</t>
  </si>
  <si>
    <t>user_id, bank_code, account_no_enc, account_last4, holder_name, verified_at, cooldown_until</t>
  </si>
  <si>
    <t>Số tài khoản mã hóa; che khi hiển thị</t>
  </si>
  <si>
    <t>DB-012</t>
  </si>
  <si>
    <t>item_categories</t>
  </si>
  <si>
    <t>Loại hàng</t>
  </si>
  <si>
    <t>code, name, is_prohibited, requires_review, active</t>
  </si>
  <si>
    <t>1–N orders</t>
  </si>
  <si>
    <t>UC-12, UC-58</t>
  </si>
  <si>
    <t>Quản trị bởi Admin</t>
  </si>
  <si>
    <t>DB-013</t>
  </si>
  <si>
    <t>prohibited_keywords</t>
  </si>
  <si>
    <t>Từ khóa cấm/nghi ngờ</t>
  </si>
  <si>
    <t>keyword, severity, action</t>
  </si>
  <si>
    <t>UC-54, UC-58</t>
  </si>
  <si>
    <t>Dùng cho kiểm duyệt tự động</t>
  </si>
  <si>
    <t>DB-014</t>
  </si>
  <si>
    <t>orders</t>
  </si>
  <si>
    <t>id, tracking_code, sender_id, courier_id, status, pickup/dropoff (địa chỉ, lat, lng), recipient_name, recipient_phone, item_*, declared_value, distance_km, urgency, price_suggested, price_agreed, fee_rate_locked, insurance_fee, open_until, pickup_at, deadline_at, version</t>
  </si>
  <si>
    <t>N–1 users; 1–N offers, order_photos</t>
  </si>
  <si>
    <t>UC-11..15</t>
  </si>
  <si>
    <t>Khóa lạc quan (version); các cột giá được chốt tại thời điểm</t>
  </si>
  <si>
    <t>DB-015</t>
  </si>
  <si>
    <t>order_photos</t>
  </si>
  <si>
    <t>Ảnh của đơn</t>
  </si>
  <si>
    <t>order_id, kind (ITEM/PICKUP/DELIVERY), storage_key, taken_at, lat, lng</t>
  </si>
  <si>
    <t>N–1 orders</t>
  </si>
  <si>
    <t>UC-12, UC-25, UC-28</t>
  </si>
  <si>
    <t>Ảnh bằng chứng lưu kèm tọa độ</t>
  </si>
  <si>
    <t>DB-016</t>
  </si>
  <si>
    <t>order_status_history</t>
  </si>
  <si>
    <t>Lịch sử trạng thái đơn</t>
  </si>
  <si>
    <t>order_id, from_status, to_status, actor_id, reason, created_at</t>
  </si>
  <si>
    <t>Chỉ thêm (append-only)</t>
  </si>
  <si>
    <t>DB-017</t>
  </si>
  <si>
    <t>offers</t>
  </si>
  <si>
    <t>order_id, courier_id, price, message, eta_pickup, status, parent_offer_id, round_no, expires_at</t>
  </si>
  <si>
    <t>Chỉ mục (order_id, status)</t>
  </si>
  <si>
    <t>DB-018</t>
  </si>
  <si>
    <t>invitations</t>
  </si>
  <si>
    <t>Lời mời trực tiếp</t>
  </si>
  <si>
    <t>order_id, courier_id, status, expires_at</t>
  </si>
  <si>
    <t>Giai đoạn 3</t>
  </si>
  <si>
    <t>DB-019</t>
  </si>
  <si>
    <t>favorite_couriers</t>
  </si>
  <si>
    <t>Người giao yêu thích</t>
  </si>
  <si>
    <t>sender_id, courier_id</t>
  </si>
  <si>
    <t>DB-020</t>
  </si>
  <si>
    <t>trips</t>
  </si>
  <si>
    <t>courier_id, origin, destination, route_polyline, depart_at, vehicle_type, capacity_kg, floor_price, recurrence, status</t>
  </si>
  <si>
    <t>Lưu polyline để tính độ lệch tuyến</t>
  </si>
  <si>
    <t>DB-021</t>
  </si>
  <si>
    <t>trip_order_matches</t>
  </si>
  <si>
    <t>Kết quả ghép đơn–chuyến</t>
  </si>
  <si>
    <t>trip_id, order_id, score, detour_km, status, created_at</t>
  </si>
  <si>
    <t>N–1 trips, orders</t>
  </si>
  <si>
    <t>Có thể tính theo yêu cầu; lưu để theo dõi hiệu quả</t>
  </si>
  <si>
    <t>DB-022</t>
  </si>
  <si>
    <t>order_legs</t>
  </si>
  <si>
    <t>Chặng của đơn tiếp sức</t>
  </si>
  <si>
    <t>order_id, leg_no, from/to, courier_id, fee, status</t>
  </si>
  <si>
    <t>DB-023</t>
  </si>
  <si>
    <t>handover_tokens</t>
  </si>
  <si>
    <t>Mã QR/OTP xác nhận</t>
  </si>
  <si>
    <t>order_id, purpose (PICKUP/DELIVERY/HANDOVER/RETURN), token_hash, expires_at, attempts, used_at</t>
  </si>
  <si>
    <t>UC-25, UC-28, UC-33</t>
  </si>
  <si>
    <t>Lưu hash; khóa khi nhập sai quá số lần</t>
  </si>
  <si>
    <t>DB-024</t>
  </si>
  <si>
    <t>wallets</t>
  </si>
  <si>
    <t>Ví người dùng</t>
  </si>
  <si>
    <t>user_id, available, escrow_held, pending_withdraw, version</t>
  </si>
  <si>
    <t>Số dư là bản chiếu của sổ cái; khóa lạc quan</t>
  </si>
  <si>
    <t>DB-025</t>
  </si>
  <si>
    <t>ledger_accounts</t>
  </si>
  <si>
    <t>Tài khoản sổ cái</t>
  </si>
  <si>
    <t>code, owner_type, owner_id, type</t>
  </si>
  <si>
    <t>1–N ledger_entries</t>
  </si>
  <si>
    <t>UC-35, UC-36</t>
  </si>
  <si>
    <t>Tài khoản hệ thống: ESCROW, PLATFORM_REVENUE, GUARANTEE_FUND, VNPAY_CLEARING, PAYOUT_CLEARING, PROMO_EXPENSE</t>
  </si>
  <si>
    <t>DB-026</t>
  </si>
  <si>
    <t>ledger_transactions</t>
  </si>
  <si>
    <t>Giao dịch sổ cái</t>
  </si>
  <si>
    <t>id, type, status, idempotency_key, order_id, ref_type, ref_id, created_by, created_at</t>
  </si>
  <si>
    <t>UC-34..43</t>
  </si>
  <si>
    <t>idempotency_key unique</t>
  </si>
  <si>
    <t>DB-027</t>
  </si>
  <si>
    <t>ledger_entries</t>
  </si>
  <si>
    <t>Bút toán kép</t>
  </si>
  <si>
    <t>txn_id, account_id, debit, credit, created_at</t>
  </si>
  <si>
    <t>N–1 ledger_transactions</t>
  </si>
  <si>
    <t>Chỉ thêm; tổng nợ = tổng có theo giao dịch</t>
  </si>
  <si>
    <t>DB-028</t>
  </si>
  <si>
    <t>escrows</t>
  </si>
  <si>
    <t>Khoản ký quỹ theo đơn</t>
  </si>
  <si>
    <t>order_id, amount, status, release_at, frozen</t>
  </si>
  <si>
    <t>1–1 orders</t>
  </si>
  <si>
    <t>Trạng thái theo máy trạng thái ký quỹ</t>
  </si>
  <si>
    <t>DB-029</t>
  </si>
  <si>
    <t>payment_transactions</t>
  </si>
  <si>
    <t>txn_ref, user_id, order_id, purpose, amount, status, vnp_transaction_no, vnp_bank_code, vnp_response_code, pay_date, created_at, expires_at</t>
  </si>
  <si>
    <t>txn_ref unique; lưu bản sao phản hồi thô để đối soát</t>
  </si>
  <si>
    <t>DB-030</t>
  </si>
  <si>
    <t>refund_requests</t>
  </si>
  <si>
    <t>Yêu cầu hoàn tiền VNPay</t>
  </si>
  <si>
    <t>payment_txn_id, amount, kind (FULL/PARTIAL), status, vnpay_refund_ref</t>
  </si>
  <si>
    <t>N–1 payment_transactions</t>
  </si>
  <si>
    <t>DB-031</t>
  </si>
  <si>
    <t>withdrawal_requests</t>
  </si>
  <si>
    <t>user_id, amount, fee, net_amount, bank_account_id, status, approver_1, approver_2, provider, payout_ref</t>
  </si>
  <si>
    <t>Ràng buộc: 1 yêu cầu đang xử lý/người dùng</t>
  </si>
  <si>
    <t>DB-032</t>
  </si>
  <si>
    <t>reconciliation_reports</t>
  </si>
  <si>
    <t>Báo cáo đối soát</t>
  </si>
  <si>
    <t>report_date, total_count, mismatch_count, status</t>
  </si>
  <si>
    <t>1–N items</t>
  </si>
  <si>
    <t>Chạy theo job</t>
  </si>
  <si>
    <t>DB-033</t>
  </si>
  <si>
    <t>reconciliation_items</t>
  </si>
  <si>
    <t>Dòng đối soát</t>
  </si>
  <si>
    <t>report_id, txn_ref, kind, internal_amount, vnpay_amount, status, note</t>
  </si>
  <si>
    <t>N–1 reports</t>
  </si>
  <si>
    <t>DB-034</t>
  </si>
  <si>
    <t>system_parameters</t>
  </si>
  <si>
    <t>Tham số hệ thống</t>
  </si>
  <si>
    <t>key, value, value_type, version, effective_from, updated_by</t>
  </si>
  <si>
    <t>1–N parameter_history</t>
  </si>
  <si>
    <t>Khóa theo sheet 06_Tham_số</t>
  </si>
  <si>
    <t>DB-035</t>
  </si>
  <si>
    <t>parameter_history</t>
  </si>
  <si>
    <t>Lịch sử tham số</t>
  </si>
  <si>
    <t>key, old_value, new_value, changed_by, changed_at</t>
  </si>
  <si>
    <t>N–1 system_parameters</t>
  </si>
  <si>
    <t>UC-46, UC-60</t>
  </si>
  <si>
    <t>DB-036</t>
  </si>
  <si>
    <t>promotions, promotion_usages</t>
  </si>
  <si>
    <t>Khuyến mãi và lượt dùng</t>
  </si>
  <si>
    <t>code, type, value, valid_from, valid_to, usage_limit, target; usage: promo_id, user_id, order_id</t>
  </si>
  <si>
    <t>N–N</t>
  </si>
  <si>
    <t>DB-037</t>
  </si>
  <si>
    <t>reviews</t>
  </si>
  <si>
    <t>Đánh giá</t>
  </si>
  <si>
    <t>order_id, reviewer_id, reviewee_id, rating, tags, comment, reply, visible_at</t>
  </si>
  <si>
    <t>Unique (order_id, reviewer_id)</t>
  </si>
  <si>
    <t>DB-038</t>
  </si>
  <si>
    <t>trust_scores, trust_score_history</t>
  </si>
  <si>
    <t>Điểm uy tín và lịch sử</t>
  </si>
  <si>
    <t>courier_id, score, ontime_rate, rating_avg, completion_rate, complaint_rate, tier, calculated_at</t>
  </si>
  <si>
    <t>1–1 courier_profiles</t>
  </si>
  <si>
    <t>Lịch sử để giải thích biến động điểm</t>
  </si>
  <si>
    <t>DB-039</t>
  </si>
  <si>
    <t>complaints</t>
  </si>
  <si>
    <t>order_id, opened_by, against_user_id, reason, status, ruling, ruling_amount, appeal_count, sla_due_at</t>
  </si>
  <si>
    <t>DB-040</t>
  </si>
  <si>
    <t>complaint_evidence, complaint_messages</t>
  </si>
  <si>
    <t>Bằng chứng và trao đổi trong khiếu nại</t>
  </si>
  <si>
    <t>complaint_id, author_id, type, storage_key/text, created_at</t>
  </si>
  <si>
    <t>N–1 complaints</t>
  </si>
  <si>
    <t>DB-041</t>
  </si>
  <si>
    <t>compensations</t>
  </si>
  <si>
    <t>Khoản bồi thường từ Quỹ bảo đảm</t>
  </si>
  <si>
    <t>complaint_id, beneficiary_id, amount, status, ledger_txn_id</t>
  </si>
  <si>
    <t>DB-042</t>
  </si>
  <si>
    <t>violation_reports</t>
  </si>
  <si>
    <t>reporter_id, target_type, target_id, reason, evidence, status, handled_by</t>
  </si>
  <si>
    <t>DB-043</t>
  </si>
  <si>
    <t>blacklist</t>
  </si>
  <si>
    <t>kind (ID_NUMBER/PHONE/DEVICE), value_hash, reason, created_by</t>
  </si>
  <si>
    <t>Lưu hash</t>
  </si>
  <si>
    <t>DB-044</t>
  </si>
  <si>
    <t>service_areas, meeting_points</t>
  </si>
  <si>
    <t>Khu vực hoạt động và điểm hẹn bàn giao</t>
  </si>
  <si>
    <t>name, polygon/bbox, lat, lng, active</t>
  </si>
  <si>
    <t>DB-045</t>
  </si>
  <si>
    <t>content_pages, notification_templates</t>
  </si>
  <si>
    <t>Nội dung điều khoản và mẫu thông báo</t>
  </si>
  <si>
    <t>key, version, body, channel, locale</t>
  </si>
  <si>
    <t>UC-53, UC-58</t>
  </si>
  <si>
    <t>Mẫu hỗ trợ biến thay thế</t>
  </si>
  <si>
    <t>DB-046</t>
  </si>
  <si>
    <t>badges, user_badges, referrals</t>
  </si>
  <si>
    <t>Huy hiệu và giới thiệu</t>
  </si>
  <si>
    <t>badge.code, rule; user_badges: user_id, badge_id, at; referral: inviter_id, invitee_id, rewarded_at</t>
  </si>
  <si>
    <t>DB-047</t>
  </si>
  <si>
    <t>job_runs, shedlock</t>
  </si>
  <si>
    <t>Nhật ký chạy job và khóa phân tán</t>
  </si>
  <si>
    <t>job_name, started_at, ended_at, status, detail; shedlock: name, lock_until, locked_by</t>
  </si>
  <si>
    <t>Bảng ShedLock theo thư viện</t>
  </si>
  <si>
    <t>DB-048</t>
  </si>
  <si>
    <t>outbox_events</t>
  </si>
  <si>
    <t>Hàng đợi sự kiện giao dịch (outbox)</t>
  </si>
  <si>
    <t>id, type, payload, status, created_at, processed_at</t>
  </si>
  <si>
    <t>UC-35, UC-53</t>
  </si>
  <si>
    <t>Đảm bảo phát sự kiện sau khi giao dịch DB thành công</t>
  </si>
  <si>
    <t>DB-049</t>
  </si>
  <si>
    <t>idempotency_keys</t>
  </si>
  <si>
    <t>Khóa idempotency API</t>
  </si>
  <si>
    <t>key, user_id, request_hash, response_body, expires_at</t>
  </si>
  <si>
    <t>UC-35, UC-40</t>
  </si>
  <si>
    <t>TTL theo IDEM_TTL</t>
  </si>
  <si>
    <t>DB-050</t>
  </si>
  <si>
    <t>tracking_events</t>
  </si>
  <si>
    <t>MongoDB</t>
  </si>
  <si>
    <t>Sự kiện hành trình theo đơn</t>
  </si>
  <si>
    <t>orderId, type, actorId, at, payload, location (GeoJSON)</t>
  </si>
  <si>
    <t>theo orderId</t>
  </si>
  <si>
    <t>UC-25..30</t>
  </si>
  <si>
    <t>Chỉ mục (orderId, at)</t>
  </si>
  <si>
    <t>DB-051</t>
  </si>
  <si>
    <t>location_pings</t>
  </si>
  <si>
    <t>Điểm vị trí GPS</t>
  </si>
  <si>
    <t>orderId, courierId, loc (GeoJSON Point), speed, accuracy, at</t>
  </si>
  <si>
    <t>TTL index theo TRACK_TTL; 2dsphere cho hình học</t>
  </si>
  <si>
    <t>DB-052</t>
  </si>
  <si>
    <t>chat_rooms</t>
  </si>
  <si>
    <t>Phòng chat theo đơn</t>
  </si>
  <si>
    <t>orderId, participants, status, createdAt</t>
  </si>
  <si>
    <t>DB-053</t>
  </si>
  <si>
    <t>chat_messages</t>
  </si>
  <si>
    <t>Tin nhắn</t>
  </si>
  <si>
    <t>roomId, senderId, type, text, mediaKey, readBy, at, flags</t>
  </si>
  <si>
    <t>N–1 chat_rooms</t>
  </si>
  <si>
    <t>TTL theo CHAT_TTL; chỉ mục (roomId, at)</t>
  </si>
  <si>
    <t>DB-054</t>
  </si>
  <si>
    <t>notifications</t>
  </si>
  <si>
    <t>Thông báo người dùng</t>
  </si>
  <si>
    <t>userId, type, title, body, data, channels, readAt, at</t>
  </si>
  <si>
    <t>theo userId</t>
  </si>
  <si>
    <t>Chỉ mục (userId, at)</t>
  </si>
  <si>
    <t>DB-055</t>
  </si>
  <si>
    <t>audit_logs</t>
  </si>
  <si>
    <t>Nhật ký kiểm toán</t>
  </si>
  <si>
    <t>actor, action, entityType, entityId, before, after, ip, at</t>
  </si>
  <si>
    <t>Chỉ thêm; giữ theo AUDIT_KEEP; các hành động tiền còn được ghi vào sổ cái SQL</t>
  </si>
  <si>
    <t>Danh mục API</t>
  </si>
  <si>
    <t>Tiền tố /api/v1 • JSON • lỗi theo chuẩn Problem Details • phân trang page/size/sort • quy ước chi tiết ở tài liệu SPEC</t>
  </si>
  <si>
    <t>Phương thức</t>
  </si>
  <si>
    <t>Đường dẫn (sau /api/v1)</t>
  </si>
  <si>
    <t>Quyền truy cập</t>
  </si>
  <si>
    <t>API-001</t>
  </si>
  <si>
    <t>POST</t>
  </si>
  <si>
    <t>/auth/register</t>
  </si>
  <si>
    <t>Công khai</t>
  </si>
  <si>
    <t>API-002</t>
  </si>
  <si>
    <t>/auth/otp/verify</t>
  </si>
  <si>
    <t>API-003</t>
  </si>
  <si>
    <t>/auth/otp/resend</t>
  </si>
  <si>
    <t>Gửi lại OTP</t>
  </si>
  <si>
    <t>API-004</t>
  </si>
  <si>
    <t>/auth/login</t>
  </si>
  <si>
    <t>Đăng nhập, trả Access/Refresh Token</t>
  </si>
  <si>
    <t>API-005</t>
  </si>
  <si>
    <t>/auth/google</t>
  </si>
  <si>
    <t>Đăng nhập bằng Google (OAuth2)</t>
  </si>
  <si>
    <t>API-006</t>
  </si>
  <si>
    <t>/auth/refresh</t>
  </si>
  <si>
    <t>Làm mới token (xoay vòng)</t>
  </si>
  <si>
    <t>API-007</t>
  </si>
  <si>
    <t>/auth/logout</t>
  </si>
  <si>
    <t>Đăng xuất phiên hiện tại</t>
  </si>
  <si>
    <t>API-008</t>
  </si>
  <si>
    <t>GET</t>
  </si>
  <si>
    <t>/auth/sessions</t>
  </si>
  <si>
    <t>Danh sách phiên/thiết bị</t>
  </si>
  <si>
    <t>API-009</t>
  </si>
  <si>
    <t>DELETE</t>
  </si>
  <si>
    <t>/auth/sessions/{id}</t>
  </si>
  <si>
    <t>Thu hồi một phiên</t>
  </si>
  <si>
    <t>API-010</t>
  </si>
  <si>
    <t>/auth/password/forgot</t>
  </si>
  <si>
    <t>Yêu cầu đặt lại mật khẩu</t>
  </si>
  <si>
    <t>API-011</t>
  </si>
  <si>
    <t>/auth/password/reset</t>
  </si>
  <si>
    <t>Đặt lại mật khẩu bằng OTP</t>
  </si>
  <si>
    <t>API-012</t>
  </si>
  <si>
    <t>/auth/password/change</t>
  </si>
  <si>
    <t>API-013</t>
  </si>
  <si>
    <t>/me</t>
  </si>
  <si>
    <t>Thông tin tài khoản và vai trò hiện tại</t>
  </si>
  <si>
    <t>API-014</t>
  </si>
  <si>
    <t>PUT</t>
  </si>
  <si>
    <t>/me/profile</t>
  </si>
  <si>
    <t>Cập nhật hồ sơ cá nhân</t>
  </si>
  <si>
    <t>API-015</t>
  </si>
  <si>
    <t>PATCH</t>
  </si>
  <si>
    <t>/me/contact</t>
  </si>
  <si>
    <t>Đổi email/SĐT (cần OTP)</t>
  </si>
  <si>
    <t>API-016</t>
  </si>
  <si>
    <t>/me/addresses</t>
  </si>
  <si>
    <t>Danh sách địa chỉ</t>
  </si>
  <si>
    <t>API-017</t>
  </si>
  <si>
    <t>Thêm địa chỉ</t>
  </si>
  <si>
    <t>API-018</t>
  </si>
  <si>
    <t>/me/addresses/{id}</t>
  </si>
  <si>
    <t>Sửa địa chỉ</t>
  </si>
  <si>
    <t>API-019</t>
  </si>
  <si>
    <t>Xóa địa chỉ</t>
  </si>
  <si>
    <t>API-020</t>
  </si>
  <si>
    <t>/me/data-export</t>
  </si>
  <si>
    <t>Yêu cầu xuất dữ liệu cá nhân</t>
  </si>
  <si>
    <t>API-021</t>
  </si>
  <si>
    <t>/me/delete-request</t>
  </si>
  <si>
    <t>Yêu cầu xóa/ẩn danh tài khoản</t>
  </si>
  <si>
    <t>API-022</t>
  </si>
  <si>
    <t>/me/kyc</t>
  </si>
  <si>
    <t>API-023</t>
  </si>
  <si>
    <t>Xem trạng thái hồ sơ xác minh</t>
  </si>
  <si>
    <t>API-024</t>
  </si>
  <si>
    <t>/mod/kyc</t>
  </si>
  <si>
    <t>Hàng đợi hồ sơ KYC (phân trang, lọc)</t>
  </si>
  <si>
    <t>MODERATOR</t>
  </si>
  <si>
    <t>API-025</t>
  </si>
  <si>
    <t>/mod/kyc/{id}</t>
  </si>
  <si>
    <t>Chi tiết hồ sơ và ảnh (liên kết có thời hạn)</t>
  </si>
  <si>
    <t>API-026</t>
  </si>
  <si>
    <t>/mod/kyc/{id}/approve</t>
  </si>
  <si>
    <t>Duyệt hồ sơ</t>
  </si>
  <si>
    <t>API-027</t>
  </si>
  <si>
    <t>/mod/kyc/{id}/reject</t>
  </si>
  <si>
    <t>Từ chối kèm lý do</t>
  </si>
  <si>
    <t>API-028</t>
  </si>
  <si>
    <t>/me/courier-registration</t>
  </si>
  <si>
    <t>API-029</t>
  </si>
  <si>
    <t>/pricing/estimate</t>
  </si>
  <si>
    <t>Ước tính giá và cấu thành phí</t>
  </si>
  <si>
    <t>API-030</t>
  </si>
  <si>
    <t>/orders</t>
  </si>
  <si>
    <t>Tạo đơn (nháp hoặc đăng)</t>
  </si>
  <si>
    <t>SENDER</t>
  </si>
  <si>
    <t>API-031</t>
  </si>
  <si>
    <t>/orders/{id}/photos</t>
  </si>
  <si>
    <t>Tải ảnh hàng</t>
  </si>
  <si>
    <t>API-032</t>
  </si>
  <si>
    <t>/orders/{id}/publish</t>
  </si>
  <si>
    <t>Đăng đơn nháp lên sàn</t>
  </si>
  <si>
    <t>API-033</t>
  </si>
  <si>
    <t>/orders/{id}/duplicate</t>
  </si>
  <si>
    <t>Đặt lại đơn từ đơn cũ</t>
  </si>
  <si>
    <t>API-034</t>
  </si>
  <si>
    <t>Danh sách đơn của tôi (lọc, phân trang)</t>
  </si>
  <si>
    <t>API-035</t>
  </si>
  <si>
    <t>/orders/{id}</t>
  </si>
  <si>
    <t>Chi tiết đơn</t>
  </si>
  <si>
    <t>API-036</t>
  </si>
  <si>
    <t>/orders/{id}/timeline</t>
  </si>
  <si>
    <t>Lịch sử trạng thái và sự kiện</t>
  </si>
  <si>
    <t>API-037</t>
  </si>
  <si>
    <t>API-038</t>
  </si>
  <si>
    <t>/orders/{id}/cancel</t>
  </si>
  <si>
    <t>Hủy đơn (xem trước phí với ?dryRun)</t>
  </si>
  <si>
    <t>API-039</t>
  </si>
  <si>
    <t>/market/orders</t>
  </si>
  <si>
    <t>Sàn đơn: lọc, sắp xếp, phân trang</t>
  </si>
  <si>
    <t>COURIER</t>
  </si>
  <si>
    <t>API-040</t>
  </si>
  <si>
    <t>/market/orders/map</t>
  </si>
  <si>
    <t>Sàn đơn theo khung bản đồ</t>
  </si>
  <si>
    <t>API-041</t>
  </si>
  <si>
    <t>/market/orders/{id}</t>
  </si>
  <si>
    <t>Chi tiết đơn trên sàn (đã ẩn dữ liệu nhạy cảm)</t>
  </si>
  <si>
    <t>API-042</t>
  </si>
  <si>
    <t>/me/area-subscriptions</t>
  </si>
  <si>
    <t>Đăng ký khu vực nhận thông báo đơn</t>
  </si>
  <si>
    <t>API-043</t>
  </si>
  <si>
    <t>/market/orders/{id}/accept</t>
  </si>
  <si>
    <t>API-044</t>
  </si>
  <si>
    <t>/orders/{id}/offers</t>
  </si>
  <si>
    <t>API-045</t>
  </si>
  <si>
    <t>/offers/{id}</t>
  </si>
  <si>
    <t>Rút chào giá</t>
  </si>
  <si>
    <t>API-046</t>
  </si>
  <si>
    <t>/me/offers</t>
  </si>
  <si>
    <t>Chào giá của tôi</t>
  </si>
  <si>
    <t>API-047</t>
  </si>
  <si>
    <t>Danh sách chào giá của một đơn</t>
  </si>
  <si>
    <t>API-048</t>
  </si>
  <si>
    <t>/offers/{id}/accept</t>
  </si>
  <si>
    <t>Chấp nhận chào giá</t>
  </si>
  <si>
    <t>API-049</t>
  </si>
  <si>
    <t>/offers/{id}/reject</t>
  </si>
  <si>
    <t>Từ chối chào giá</t>
  </si>
  <si>
    <t>API-050</t>
  </si>
  <si>
    <t>/offers/{id}/counter</t>
  </si>
  <si>
    <t>API-051</t>
  </si>
  <si>
    <t>/orders/{id}/invitations</t>
  </si>
  <si>
    <t>API-052</t>
  </si>
  <si>
    <t>/me/favorites/{courierId}</t>
  </si>
  <si>
    <t>Thêm/bỏ người giao yêu thích</t>
  </si>
  <si>
    <t>API-053</t>
  </si>
  <si>
    <t>/matching/orders-for-trip/{tripId}</t>
  </si>
  <si>
    <t>Đơn gợi ý cho chuyến đi</t>
  </si>
  <si>
    <t>API-054</t>
  </si>
  <si>
    <t>/matching/couriers-for-order/{orderId}</t>
  </si>
  <si>
    <t>Người giao gợi ý cho đơn</t>
  </si>
  <si>
    <t>API-055</t>
  </si>
  <si>
    <t>/trips</t>
  </si>
  <si>
    <t>API-056</t>
  </si>
  <si>
    <t>Chuyến đi của tôi</t>
  </si>
  <si>
    <t>API-057</t>
  </si>
  <si>
    <t>/trips/{id}</t>
  </si>
  <si>
    <t>Chi tiết chuyến đi</t>
  </si>
  <si>
    <t>API-058</t>
  </si>
  <si>
    <t>Sửa chuyến đi</t>
  </si>
  <si>
    <t>API-059</t>
  </si>
  <si>
    <t>/trips/{id}/pause</t>
  </si>
  <si>
    <t>Tạm dừng/mở lại nhận đơn</t>
  </si>
  <si>
    <t>API-060</t>
  </si>
  <si>
    <t>/trips/{id}/cancel</t>
  </si>
  <si>
    <t>Hủy chuyến</t>
  </si>
  <si>
    <t>API-061</t>
  </si>
  <si>
    <t>/trips/{id}/complete</t>
  </si>
  <si>
    <t>Kết thúc chuyến</t>
  </si>
  <si>
    <t>API-062</t>
  </si>
  <si>
    <t>/orders/{id}/chat/messages</t>
  </si>
  <si>
    <t>Lịch sử chat của đơn (phân trang)</t>
  </si>
  <si>
    <t>API-063</t>
  </si>
  <si>
    <t>Gửi tin nhắn (dự phòng khi WebSocket lỗi)</t>
  </si>
  <si>
    <t>API-064</t>
  </si>
  <si>
    <t>/chat/messages/{id}/report</t>
  </si>
  <si>
    <t>API-065</t>
  </si>
  <si>
    <t>WS</t>
  </si>
  <si>
    <t>/ws (STOMP) /topic/chat.{orderId}</t>
  </si>
  <si>
    <t>Kênh chat thời gian thực</t>
  </si>
  <si>
    <t>API-066</t>
  </si>
  <si>
    <t>/orders/{id}/pickup/token</t>
  </si>
  <si>
    <t>Người gửi lấy mã QR lấy hàng</t>
  </si>
  <si>
    <t>API-067</t>
  </si>
  <si>
    <t>/orders/{id}/pickup/confirm</t>
  </si>
  <si>
    <t>Người giao xác nhận lấy hàng (mã + ảnh)</t>
  </si>
  <si>
    <t>API-068</t>
  </si>
  <si>
    <t>/orders/{id}/start-transit</t>
  </si>
  <si>
    <t>Bắt đầu di chuyển, kích hoạt OTP giao</t>
  </si>
  <si>
    <t>API-069</t>
  </si>
  <si>
    <t>/orders/{id}/locations</t>
  </si>
  <si>
    <t>Gửi lô điểm vị trí</t>
  </si>
  <si>
    <t>API-070</t>
  </si>
  <si>
    <t>/orders/{id}/tracking</t>
  </si>
  <si>
    <t>Vị trí gần nhất, tuyến và ETA</t>
  </si>
  <si>
    <t>API-071</t>
  </si>
  <si>
    <t>/public/track/{token}</t>
  </si>
  <si>
    <t>Theo dõi công khai cho người nhận</t>
  </si>
  <si>
    <t>Công khai (token)</t>
  </si>
  <si>
    <t>API-072</t>
  </si>
  <si>
    <t>/ws (STOMP) /topic/track.{orderId}</t>
  </si>
  <si>
    <t>Kênh vị trí thời gian thực</t>
  </si>
  <si>
    <t>API-073</t>
  </si>
  <si>
    <t>/orders/{id}/delivery/otp/resend</t>
  </si>
  <si>
    <t>Gửi lại OTP giao hàng</t>
  </si>
  <si>
    <t>API-074</t>
  </si>
  <si>
    <t>/orders/{id}/delivery/confirm</t>
  </si>
  <si>
    <t>Xác nhận giao bằng OTP/QR + ảnh</t>
  </si>
  <si>
    <t>API-075</t>
  </si>
  <si>
    <t>/orders/{id}/delivery/exception</t>
  </si>
  <si>
    <t>Xác nhận giao ngoại lệ</t>
  </si>
  <si>
    <t>API-076</t>
  </si>
  <si>
    <t>/orders/{id}/incidents</t>
  </si>
  <si>
    <t>API-077</t>
  </si>
  <si>
    <t>/sos</t>
  </si>
  <si>
    <t>Gửi cảnh báo khẩn cấp kèm vị trí</t>
  </si>
  <si>
    <t>API-078</t>
  </si>
  <si>
    <t>/orders/{id}/delivery-failed</t>
  </si>
  <si>
    <t>Báo giao thất bại</t>
  </si>
  <si>
    <t>API-079</t>
  </si>
  <si>
    <t>/orders/{id}/return/confirm</t>
  </si>
  <si>
    <t>Người gửi xác nhận nhận lại hàng</t>
  </si>
  <si>
    <t>API-080</t>
  </si>
  <si>
    <t>/batches</t>
  </si>
  <si>
    <t>Gộp đơn thành lượt giao</t>
  </si>
  <si>
    <t>API-081</t>
  </si>
  <si>
    <t>/batches/{id}/route</t>
  </si>
  <si>
    <t>Thứ tự điểm dừng gợi ý</t>
  </si>
  <si>
    <t>API-082</t>
  </si>
  <si>
    <t>/orders/relay</t>
  </si>
  <si>
    <t>API-083</t>
  </si>
  <si>
    <t>/orders/{id}/legs/{n}/handover</t>
  </si>
  <si>
    <t>Bàn giao chặng bằng QR</t>
  </si>
  <si>
    <t>API-084</t>
  </si>
  <si>
    <t>/wallet/topups</t>
  </si>
  <si>
    <t>Tạo giao dịch nạp và liên kết VNPay</t>
  </si>
  <si>
    <t>API-085</t>
  </si>
  <si>
    <t>/vnpay/return</t>
  </si>
  <si>
    <t>Return URL: hiển thị kết quả từ dữ liệu đã xác minh</t>
  </si>
  <si>
    <t>API-086</t>
  </si>
  <si>
    <t>/vnpay/ipn</t>
  </si>
  <si>
    <t>Nhận IPN từ VNPay (xác minh chữ ký, idempotent)</t>
  </si>
  <si>
    <t>Webhook VNPay</t>
  </si>
  <si>
    <t>API-087</t>
  </si>
  <si>
    <t>/orders/{id}/payment</t>
  </si>
  <si>
    <t>Thanh toán ký quỹ bằng ví hoặc VNPay</t>
  </si>
  <si>
    <t>API-088</t>
  </si>
  <si>
    <t>/wallet</t>
  </si>
  <si>
    <t>Số dư khả dụng, ký quỹ, chờ rút</t>
  </si>
  <si>
    <t>API-089</t>
  </si>
  <si>
    <t>/wallet/transactions</t>
  </si>
  <si>
    <t>Lịch sử giao dịch (lọc, phân trang)</t>
  </si>
  <si>
    <t>API-090</t>
  </si>
  <si>
    <t>/wallet/statement</t>
  </si>
  <si>
    <t>Xuất sao kê</t>
  </si>
  <si>
    <t>API-091</t>
  </si>
  <si>
    <t>/orders/{id}/refund-to-source</t>
  </si>
  <si>
    <t>Yêu cầu hoàn về nguồn VNPay</t>
  </si>
  <si>
    <t>API-092</t>
  </si>
  <si>
    <t>/orders/{id}/escrow</t>
  </si>
  <si>
    <t>Xem trạng thái ký quỹ và lịch giải ngân của đơn</t>
  </si>
  <si>
    <t>API-093</t>
  </si>
  <si>
    <t>/admin/escrow/{orderId}/release</t>
  </si>
  <si>
    <t>Giải ngân thủ công trong trường hợp ngoại lệ (có phê duyệt, ghi audit)</t>
  </si>
  <si>
    <t>ADMIN</t>
  </si>
  <si>
    <t>API-094</t>
  </si>
  <si>
    <t>/me/bank-accounts</t>
  </si>
  <si>
    <t>Danh sách tài khoản ngân hàng (che số)</t>
  </si>
  <si>
    <t>API-095</t>
  </si>
  <si>
    <t>Thêm tài khoản ngân hàng</t>
  </si>
  <si>
    <t>API-096</t>
  </si>
  <si>
    <t>/me/bank-accounts/{id}</t>
  </si>
  <si>
    <t>Xóa tài khoản ngân hàng</t>
  </si>
  <si>
    <t>API-097</t>
  </si>
  <si>
    <t>/wallet/withdrawals</t>
  </si>
  <si>
    <t>Tạo yêu cầu rút tiền</t>
  </si>
  <si>
    <t>API-098</t>
  </si>
  <si>
    <t>Yêu cầu rút của tôi</t>
  </si>
  <si>
    <t>API-099</t>
  </si>
  <si>
    <t>/wallet/withdrawals/{id}/cancel</t>
  </si>
  <si>
    <t>Hủy yêu cầu rút khi chưa duyệt</t>
  </si>
  <si>
    <t>API-100</t>
  </si>
  <si>
    <t>/admin/withdrawals</t>
  </si>
  <si>
    <t>Hàng đợi rút tiền</t>
  </si>
  <si>
    <t>API-101</t>
  </si>
  <si>
    <t>/admin/withdrawals/{id}/approve</t>
  </si>
  <si>
    <t>Duyệt (cấp 1/cấp 2)</t>
  </si>
  <si>
    <t>API-102</t>
  </si>
  <si>
    <t>/admin/withdrawals/{id}/reject</t>
  </si>
  <si>
    <t>API-103</t>
  </si>
  <si>
    <t>/admin/withdrawals/{id}/mark-paid</t>
  </si>
  <si>
    <t>Nhập mã tham chiếu chi thủ công</t>
  </si>
  <si>
    <t>API-104</t>
  </si>
  <si>
    <t>/admin/withdrawals/export</t>
  </si>
  <si>
    <t>API-105</t>
  </si>
  <si>
    <t>/admin/withdrawals/import-result</t>
  </si>
  <si>
    <t>Nhập kết quả chi hàng loạt</t>
  </si>
  <si>
    <t>API-106</t>
  </si>
  <si>
    <t>/admin/reconciliation</t>
  </si>
  <si>
    <t>Danh sách báo cáo đối soát</t>
  </si>
  <si>
    <t>API-107</t>
  </si>
  <si>
    <t>/admin/reconciliation/run</t>
  </si>
  <si>
    <t>Chạy đối soát thủ công</t>
  </si>
  <si>
    <t>API-108</t>
  </si>
  <si>
    <t>/admin/reconciliation/items/{id}/adjust</t>
  </si>
  <si>
    <t>Điều chỉnh dòng lệch bằng bút toán điều chỉnh</t>
  </si>
  <si>
    <t>API-109</t>
  </si>
  <si>
    <t>/admin/ledger/integrity</t>
  </si>
  <si>
    <t>Kiểm tra bất biến sổ cái</t>
  </si>
  <si>
    <t>API-110</t>
  </si>
  <si>
    <t>/orders/{id}/promo</t>
  </si>
  <si>
    <t>API-111</t>
  </si>
  <si>
    <t>/admin/promotions</t>
  </si>
  <si>
    <t>Danh sách khuyến mãi</t>
  </si>
  <si>
    <t>API-112</t>
  </si>
  <si>
    <t>Tạo khuyến mãi</t>
  </si>
  <si>
    <t>API-113</t>
  </si>
  <si>
    <t>/admin/promotions/{id}</t>
  </si>
  <si>
    <t>Sửa/tạm dừng khuyến mãi</t>
  </si>
  <si>
    <t>API-114</t>
  </si>
  <si>
    <t>/admin/params</t>
  </si>
  <si>
    <t>Danh sách tham số</t>
  </si>
  <si>
    <t>API-115</t>
  </si>
  <si>
    <t>/admin/params/{key}</t>
  </si>
  <si>
    <t>Cập nhật tham số</t>
  </si>
  <si>
    <t>API-116</t>
  </si>
  <si>
    <t>/admin/params/simulate</t>
  </si>
  <si>
    <t>Mô phỏng giá/hoa hồng theo tham số đề xuất</t>
  </si>
  <si>
    <t>API-117</t>
  </si>
  <si>
    <t>/orders/{id}/reviews</t>
  </si>
  <si>
    <t>Gửi đánh giá</t>
  </si>
  <si>
    <t>API-118</t>
  </si>
  <si>
    <t>/couriers/{id}/profile</t>
  </si>
  <si>
    <t>Hồ sơ công khai người giao</t>
  </si>
  <si>
    <t>API-119</t>
  </si>
  <si>
    <t>/couriers/{id}/reviews</t>
  </si>
  <si>
    <t>Đánh giá của người giao</t>
  </si>
  <si>
    <t>API-120</t>
  </si>
  <si>
    <t>/reviews/{id}/reply</t>
  </si>
  <si>
    <t>API-121</t>
  </si>
  <si>
    <t>/me/trust</t>
  </si>
  <si>
    <t>Điểm uy tín, hạng và tiến độ lên hạng</t>
  </si>
  <si>
    <t>API-122</t>
  </si>
  <si>
    <t>/orders/{id}/complaints</t>
  </si>
  <si>
    <t>API-123</t>
  </si>
  <si>
    <t>/complaints</t>
  </si>
  <si>
    <t>Khiếu nại của tôi / hàng đợi (theo vai trò)</t>
  </si>
  <si>
    <t>API-124</t>
  </si>
  <si>
    <t>/complaints/{id}</t>
  </si>
  <si>
    <t>Chi tiết khiếu nại</t>
  </si>
  <si>
    <t>API-125</t>
  </si>
  <si>
    <t>/complaints/{id}/messages</t>
  </si>
  <si>
    <t>Trao đổi và thêm bằng chứng</t>
  </si>
  <si>
    <t>API-126</t>
  </si>
  <si>
    <t>/mod/complaints/{id}/ruling</t>
  </si>
  <si>
    <t>API-127</t>
  </si>
  <si>
    <t>/complaints/{id}/appeal</t>
  </si>
  <si>
    <t>Kháng nghị</t>
  </si>
  <si>
    <t>API-128</t>
  </si>
  <si>
    <t>/admin/complaints/{id}/compensation</t>
  </si>
  <si>
    <t>Chi bồi thường từ Quỹ bảo đảm</t>
  </si>
  <si>
    <t>API-129</t>
  </si>
  <si>
    <t>/admin/guarantee-fund</t>
  </si>
  <si>
    <t>Số dư và biến động Quỹ bảo đảm</t>
  </si>
  <si>
    <t>API-130</t>
  </si>
  <si>
    <t>/notifications</t>
  </si>
  <si>
    <t>Danh sách thông báo</t>
  </si>
  <si>
    <t>API-131</t>
  </si>
  <si>
    <t>/notifications/{id}/read</t>
  </si>
  <si>
    <t>Đánh dấu đã đọc</t>
  </si>
  <si>
    <t>API-132</t>
  </si>
  <si>
    <t>/notifications/read-all</t>
  </si>
  <si>
    <t>Đánh dấu tất cả đã đọc</t>
  </si>
  <si>
    <t>API-133</t>
  </si>
  <si>
    <t>/me/notification-settings</t>
  </si>
  <si>
    <t>Xem cài đặt thông báo</t>
  </si>
  <si>
    <t>API-134</t>
  </si>
  <si>
    <t>Cập nhật cài đặt thông báo</t>
  </si>
  <si>
    <t>API-135</t>
  </si>
  <si>
    <t>/me/push-subscriptions</t>
  </si>
  <si>
    <t>Đăng ký Web Push</t>
  </si>
  <si>
    <t>API-136</t>
  </si>
  <si>
    <t>/mod/orders/pending</t>
  </si>
  <si>
    <t>Hàng đợi kiểm duyệt đơn</t>
  </si>
  <si>
    <t>API-137</t>
  </si>
  <si>
    <t>/mod/orders/{id}/approve</t>
  </si>
  <si>
    <t>Duyệt đơn</t>
  </si>
  <si>
    <t>API-138</t>
  </si>
  <si>
    <t>/mod/orders/{id}/reject</t>
  </si>
  <si>
    <t>Từ chối đơn kèm lý do</t>
  </si>
  <si>
    <t>API-139</t>
  </si>
  <si>
    <t>/reports</t>
  </si>
  <si>
    <t>API-140</t>
  </si>
  <si>
    <t>/mod/reports</t>
  </si>
  <si>
    <t>Hàng đợi báo cáo vi phạm</t>
  </si>
  <si>
    <t>API-141</t>
  </si>
  <si>
    <t>/admin/users/{id}/lock</t>
  </si>
  <si>
    <t>Khóa tài khoản</t>
  </si>
  <si>
    <t>API-142</t>
  </si>
  <si>
    <t>/admin/users/{id}/unlock</t>
  </si>
  <si>
    <t>Mở khóa tài khoản</t>
  </si>
  <si>
    <t>API-143</t>
  </si>
  <si>
    <t>/admin/blacklist</t>
  </si>
  <si>
    <t>Thêm vào danh sách đen</t>
  </si>
  <si>
    <t>API-144</t>
  </si>
  <si>
    <t>/admin/users</t>
  </si>
  <si>
    <t>Tìm kiếm người dùng</t>
  </si>
  <si>
    <t>API-145</t>
  </si>
  <si>
    <t>/admin/users/{id}</t>
  </si>
  <si>
    <t>Chi tiết người dùng</t>
  </si>
  <si>
    <t>API-146</t>
  </si>
  <si>
    <t>/admin/users/{id}/roles</t>
  </si>
  <si>
    <t>Gán vai trò</t>
  </si>
  <si>
    <t>API-147</t>
  </si>
  <si>
    <t>/admin/staff</t>
  </si>
  <si>
    <t>Tạo tài khoản nhân sự</t>
  </si>
  <si>
    <t>API-148</t>
  </si>
  <si>
    <t>/admin/categories</t>
  </si>
  <si>
    <t>Danh mục loại hàng</t>
  </si>
  <si>
    <t>API-149</t>
  </si>
  <si>
    <t>/admin/categories/{id}</t>
  </si>
  <si>
    <t>Sửa/ẩn loại hàng</t>
  </si>
  <si>
    <t>API-150</t>
  </si>
  <si>
    <t>/admin/prohibited-keywords</t>
  </si>
  <si>
    <t>Quản lý từ khóa cấm</t>
  </si>
  <si>
    <t>API-151</t>
  </si>
  <si>
    <t>/admin/areas</t>
  </si>
  <si>
    <t>Quản lý khu vực hoạt động</t>
  </si>
  <si>
    <t>API-152</t>
  </si>
  <si>
    <t>/admin/meeting-points</t>
  </si>
  <si>
    <t>Quản lý điểm hẹn bàn giao</t>
  </si>
  <si>
    <t>API-153</t>
  </si>
  <si>
    <t>/admin/content/{key}</t>
  </si>
  <si>
    <t>Quản lý nội dung điều khoản</t>
  </si>
  <si>
    <t>API-154</t>
  </si>
  <si>
    <t>/admin/dashboard</t>
  </si>
  <si>
    <t>Số liệu dashboard</t>
  </si>
  <si>
    <t>API-155</t>
  </si>
  <si>
    <t>/admin/reports/export</t>
  </si>
  <si>
    <t>Xuất báo cáo Excel/CSV</t>
  </si>
  <si>
    <t>API-156</t>
  </si>
  <si>
    <t>/admin/reports/courier-revenue</t>
  </si>
  <si>
    <t>Doanh thu theo người giao theo tháng</t>
  </si>
  <si>
    <t>API-157</t>
  </si>
  <si>
    <t>/admin/audit-logs</t>
  </si>
  <si>
    <t>Tìm kiếm nhật ký kiểm toán</t>
  </si>
  <si>
    <t>API-158</t>
  </si>
  <si>
    <t>/me/earnings</t>
  </si>
  <si>
    <t>Thu nhập theo ngày/tuần/tháng</t>
  </si>
  <si>
    <t>API-159</t>
  </si>
  <si>
    <t>/me/stats</t>
  </si>
  <si>
    <t>Hiệu suất và tiến độ lên hạng</t>
  </si>
  <si>
    <t>API-160</t>
  </si>
  <si>
    <t>/me/badges</t>
  </si>
  <si>
    <t>Huy hiệu</t>
  </si>
  <si>
    <t>API-161</t>
  </si>
  <si>
    <t>/me/referral</t>
  </si>
  <si>
    <t>Mã và kết quả giới thiệu</t>
  </si>
  <si>
    <t>API-162</t>
  </si>
  <si>
    <t>/admin/jobs</t>
  </si>
  <si>
    <t>Trạng thái các tác vụ định kỳ</t>
  </si>
  <si>
    <t>API-163</t>
  </si>
  <si>
    <t>/admin/jobs/{name}/run</t>
  </si>
  <si>
    <t>Chạy thủ công một tác vụ</t>
  </si>
  <si>
    <t>API-164</t>
  </si>
  <si>
    <t>/geo/search</t>
  </si>
  <si>
    <t>Gợi ý địa chỉ (geocoding)</t>
  </si>
  <si>
    <t>API-165</t>
  </si>
  <si>
    <t>/geo/route</t>
  </si>
  <si>
    <t>Quãng đường và thời gian ước tính</t>
  </si>
  <si>
    <t>API-166</t>
  </si>
  <si>
    <t>/files</t>
  </si>
  <si>
    <t>Tải tệp (ảnh) lên</t>
  </si>
  <si>
    <t>API-167</t>
  </si>
  <si>
    <t>/actuator/health</t>
  </si>
  <si>
    <t>Kiểm tra sức khỏe dịch vụ</t>
  </si>
  <si>
    <t>Danh mục màn hình</t>
  </si>
  <si>
    <t>Cấu trúc điều hướng React Router theo vai trò; thành phần chính dùng React-Bootstrap</t>
  </si>
  <si>
    <t>Tên màn hình</t>
  </si>
  <si>
    <t>Đường dẫn</t>
  </si>
  <si>
    <t>Vai trò</t>
  </si>
  <si>
    <t>Thành phần chính</t>
  </si>
  <si>
    <t>SCR-01</t>
  </si>
  <si>
    <t>Trang chủ và giới thiệu</t>
  </si>
  <si>
    <t>/</t>
  </si>
  <si>
    <t>Banner, cách hoạt động, bảng giá tham khảo, CTA đăng ký</t>
  </si>
  <si>
    <t>SCR-02</t>
  </si>
  <si>
    <t>Ước tính giá công khai</t>
  </si>
  <si>
    <t>/estimate</t>
  </si>
  <si>
    <t>Khách, Người gửi</t>
  </si>
  <si>
    <t>Chọn điểm, thông tin hàng, bảng cấu thành phí</t>
  </si>
  <si>
    <t>Đăng ký</t>
  </si>
  <si>
    <t>/register</t>
  </si>
  <si>
    <t>Biểu mẫu, đồng ý điều khoản, xác nhận đủ 18 tuổi</t>
  </si>
  <si>
    <t>/verify</t>
  </si>
  <si>
    <t>Nhập OTP, gửi lại, đếm ngược</t>
  </si>
  <si>
    <t>/login</t>
  </si>
  <si>
    <t>Biểu mẫu, đăng nhập Google (Could)</t>
  </si>
  <si>
    <t>SCR-06</t>
  </si>
  <si>
    <t>Quên mật khẩu</t>
  </si>
  <si>
    <t>/forgot</t>
  </si>
  <si>
    <t>Nhập email/SĐT</t>
  </si>
  <si>
    <t>SCR-07</t>
  </si>
  <si>
    <t>Đặt lại mật khẩu</t>
  </si>
  <si>
    <t>/reset</t>
  </si>
  <si>
    <t>OTP và mật khẩu mới</t>
  </si>
  <si>
    <t>SCR-08</t>
  </si>
  <si>
    <t>Điều khoản, chính sách, FAQ</t>
  </si>
  <si>
    <t>/legal, /faq</t>
  </si>
  <si>
    <t>Tất cả</t>
  </si>
  <si>
    <t>Nội dung do Admin quản lý</t>
  </si>
  <si>
    <t>SCR-09</t>
  </si>
  <si>
    <t>/t/:token</t>
  </si>
  <si>
    <t>Timeline, bản đồ, ETA, thông tin tối thiểu</t>
  </si>
  <si>
    <t>SCR-10</t>
  </si>
  <si>
    <t>Ảnh, thông tin, huy hiệu FPT</t>
  </si>
  <si>
    <t>SCR-11</t>
  </si>
  <si>
    <t>Danh sách, bản đồ ghim</t>
  </si>
  <si>
    <t>Bảo mật và thiết bị</t>
  </si>
  <si>
    <t>/me/security</t>
  </si>
  <si>
    <t>UC-04, UC-06</t>
  </si>
  <si>
    <t>Đổi mật khẩu, danh sách phiên</t>
  </si>
  <si>
    <t>Xác minh danh tính</t>
  </si>
  <si>
    <t>Tải ảnh CCCD/chân dung, trạng thái hồ sơ</t>
  </si>
  <si>
    <t>/me/courier-register</t>
  </si>
  <si>
    <t>Phương tiện, khu vực, cam kết</t>
  </si>
  <si>
    <t>/couriers/:id</t>
  </si>
  <si>
    <t>Hạng, điểm, số đơn, đánh giá</t>
  </si>
  <si>
    <t>SCR-16</t>
  </si>
  <si>
    <t>Bảng điều khiển người gửi</t>
  </si>
  <si>
    <t>/sender</t>
  </si>
  <si>
    <t>Đơn đang hoạt động, lối tắt tạo đơn</t>
  </si>
  <si>
    <t>Tạo đơn (nhiều bước)</t>
  </si>
  <si>
    <t>/sender/orders/new</t>
  </si>
  <si>
    <t>Điểm lấy/giao, hàng, ảnh, người nhận, tùy chọn, giá</t>
  </si>
  <si>
    <t>SCR-18</t>
  </si>
  <si>
    <t>Lọc, tìm, phân trang</t>
  </si>
  <si>
    <t>SCR-19</t>
  </si>
  <si>
    <t>/orders/:id</t>
  </si>
  <si>
    <t>Thông tin, người giao, bằng chứng, timeline</t>
  </si>
  <si>
    <t>/sender/orders/:id/edit</t>
  </si>
  <si>
    <t>Biểu mẫu sửa kèm cảnh báo ảnh hưởng</t>
  </si>
  <si>
    <t>Danh sách chào giá</t>
  </si>
  <si>
    <t>/sender/orders/:id/offers</t>
  </si>
  <si>
    <t>So sánh giá, hạng, điểm; chấp nhận/từ chối/phản giá</t>
  </si>
  <si>
    <t>Thanh toán ký quỹ</t>
  </si>
  <si>
    <t>/sender/orders/:id/pay</t>
  </si>
  <si>
    <t>UC-35, UC-44</t>
  </si>
  <si>
    <t>Chọn ví/VNPay, mã khuyến mãi, đếm ngược giữ chỗ</t>
  </si>
  <si>
    <t>SCR-23</t>
  </si>
  <si>
    <t>Theo dõi đơn có bản đồ</t>
  </si>
  <si>
    <t>/orders/:id/track</t>
  </si>
  <si>
    <t>Bản đồ thời gian thực, ETA, timeline</t>
  </si>
  <si>
    <t>SCR-24</t>
  </si>
  <si>
    <t>Mã QR lấy hàng / trả hàng</t>
  </si>
  <si>
    <t>/orders/:id/qr</t>
  </si>
  <si>
    <t>UC-25, UC-30</t>
  </si>
  <si>
    <t>QR làm mới, hướng dẫn</t>
  </si>
  <si>
    <t>/orders/:id/review</t>
  </si>
  <si>
    <t>Sao, thẻ, nội dung</t>
  </si>
  <si>
    <t>/orders/:id/complaint</t>
  </si>
  <si>
    <t>Lý do, mô tả, bằng chứng, theo dõi tiến trình</t>
  </si>
  <si>
    <t>SCR-27</t>
  </si>
  <si>
    <t>Bảng điều khiển người giao</t>
  </si>
  <si>
    <t>/courier</t>
  </si>
  <si>
    <t>Đơn đang giao, thu nhập hôm nay, gợi ý</t>
  </si>
  <si>
    <t>SCR-28</t>
  </si>
  <si>
    <t>Sàn đơn (danh sách)</t>
  </si>
  <si>
    <t>/courier/market</t>
  </si>
  <si>
    <t>Thẻ đơn, lọc, sắp xếp</t>
  </si>
  <si>
    <t>SCR-29</t>
  </si>
  <si>
    <t>Sàn đơn (bản đồ)</t>
  </si>
  <si>
    <t>/courier/market/map</t>
  </si>
  <si>
    <t>Bản đồ cụm điểm</t>
  </si>
  <si>
    <t>Chi tiết đơn trên sàn</t>
  </si>
  <si>
    <t>/courier/market/:id</t>
  </si>
  <si>
    <t>Thông tin ẩn nhạy cảm, nhận đơn, chào giá</t>
  </si>
  <si>
    <t>SCR-31</t>
  </si>
  <si>
    <t>Đơn đang thực hiện</t>
  </si>
  <si>
    <t>/courier/active</t>
  </si>
  <si>
    <t>Danh sách đơn nhận, trạng thái</t>
  </si>
  <si>
    <t>Quy trình giao hàng</t>
  </si>
  <si>
    <t>/courier/orders/:id/run</t>
  </si>
  <si>
    <t>UC-25, UC-26, UC-28, UC-29, UC-30</t>
  </si>
  <si>
    <t>Quét QR, chụp ảnh, chia sẻ vị trí, OTP, báo sự cố</t>
  </si>
  <si>
    <t>/courier/trips/new</t>
  </si>
  <si>
    <t>Tuyến, giờ, phương tiện, sức chứa</t>
  </si>
  <si>
    <t>Quản lý chuyến và gợi ý ghép</t>
  </si>
  <si>
    <t>/courier/trips</t>
  </si>
  <si>
    <t>UC-21, UC-23</t>
  </si>
  <si>
    <t>Danh sách chuyến, đơn gợi ý</t>
  </si>
  <si>
    <t>SCR-35</t>
  </si>
  <si>
    <t>Thu nhập và thống kê</t>
  </si>
  <si>
    <t>/courier/earnings</t>
  </si>
  <si>
    <t>Biểu đồ, biên lai, tiến độ lên hạng</t>
  </si>
  <si>
    <t>Gộp đơn và lộ trình</t>
  </si>
  <si>
    <t>/courier/batch</t>
  </si>
  <si>
    <t>Chọn đơn, thứ tự điểm dừng</t>
  </si>
  <si>
    <t>Huy hiệu và giới thiệu bạn bè</t>
  </si>
  <si>
    <t>/me/rewards</t>
  </si>
  <si>
    <t>Huy hiệu, mã giới thiệu</t>
  </si>
  <si>
    <t>/orders/:id/chat</t>
  </si>
  <si>
    <t>Danh sách tin, gửi ảnh, cảnh báo thông tin liên hệ</t>
  </si>
  <si>
    <t>SCR-39</t>
  </si>
  <si>
    <t>Trung tâm thông báo</t>
  </si>
  <si>
    <t>Danh sách, đánh dấu đã đọc</t>
  </si>
  <si>
    <t>SCR-40</t>
  </si>
  <si>
    <t>/me/notifications</t>
  </si>
  <si>
    <t>Bật/tắt theo nhóm và kênh</t>
  </si>
  <si>
    <t>SCR-41</t>
  </si>
  <si>
    <t>Ví</t>
  </si>
  <si>
    <t>Khả dụng, ký quỹ, chờ rút</t>
  </si>
  <si>
    <t>SCR-42</t>
  </si>
  <si>
    <t>Nạp tiền</t>
  </si>
  <si>
    <t>/wallet/topup</t>
  </si>
  <si>
    <t>Số tiền, chuyển sang VNPay</t>
  </si>
  <si>
    <t>SCR-43</t>
  </si>
  <si>
    <t>Kết quả thanh toán VNPay</t>
  </si>
  <si>
    <t>/payment/result</t>
  </si>
  <si>
    <t>Trạng thái từ dữ liệu đã xác minh</t>
  </si>
  <si>
    <t>SCR-44</t>
  </si>
  <si>
    <t>Lịch sử giao dịch</t>
  </si>
  <si>
    <t>/wallet/history</t>
  </si>
  <si>
    <t>Lọc, chi tiết, xuất sao kê</t>
  </si>
  <si>
    <t>Tài khoản ngân hàng</t>
  </si>
  <si>
    <t>/wallet/banks</t>
  </si>
  <si>
    <t>Thêm/xóa, che số, thời gian chờ</t>
  </si>
  <si>
    <t>Rút tiền</t>
  </si>
  <si>
    <t>/wallet/withdraw</t>
  </si>
  <si>
    <t>Số tiền, phí, số thực nhận, OTP xác nhận</t>
  </si>
  <si>
    <t>SCR-47</t>
  </si>
  <si>
    <t>/admin</t>
  </si>
  <si>
    <t>Biểu đồ đơn, doanh thu, khiếu nại</t>
  </si>
  <si>
    <t>SCR-48</t>
  </si>
  <si>
    <t>Tìm kiếm, lọc, thao tác</t>
  </si>
  <si>
    <t>/admin/users/:id</t>
  </si>
  <si>
    <t>UC-57, UC-56</t>
  </si>
  <si>
    <t>Hồ sơ, đơn, giao dịch, khóa/mở khóa</t>
  </si>
  <si>
    <t>Hàng đợi KYC</t>
  </si>
  <si>
    <t>Xem ảnh, duyệt/từ chối</t>
  </si>
  <si>
    <t>/mod/orders</t>
  </si>
  <si>
    <t>Duyệt/từ chối đơn</t>
  </si>
  <si>
    <t>SCR-52</t>
  </si>
  <si>
    <t>Hàng đợi khiếu nại</t>
  </si>
  <si>
    <t>/mod/complaints</t>
  </si>
  <si>
    <t>Danh sách, SLA</t>
  </si>
  <si>
    <t>SCR-53</t>
  </si>
  <si>
    <t>Chi tiết khiếu nại và phán quyết</t>
  </si>
  <si>
    <t>/mod/complaints/:id</t>
  </si>
  <si>
    <t>Chat, bằng chứng, phán quyết</t>
  </si>
  <si>
    <t>Duyệt hai cấp, xuất lệnh chi, nhập kết quả</t>
  </si>
  <si>
    <t>Đối soát</t>
  </si>
  <si>
    <t>/admin/reconcile</t>
  </si>
  <si>
    <t>Báo cáo khớp/lệch, điều chỉnh</t>
  </si>
  <si>
    <t>Quỹ bảo đảm và bồi thường</t>
  </si>
  <si>
    <t>/admin/guarantee</t>
  </si>
  <si>
    <t>Số dư quỹ, bồi thường chờ</t>
  </si>
  <si>
    <t>Tham số và biểu phí</t>
  </si>
  <si>
    <t>Danh sách tham số, mô phỏng, lịch sử</t>
  </si>
  <si>
    <t>/admin/catalog</t>
  </si>
  <si>
    <t>Loại hàng, từ khóa cấm, khu vực, điểm hẹn, điều khoản</t>
  </si>
  <si>
    <t>Tạo/sửa/tạm dừng mã</t>
  </si>
  <si>
    <t>/admin/audit</t>
  </si>
  <si>
    <t>Lọc và xem chi tiết trước/sau</t>
  </si>
  <si>
    <t>Tác vụ định kỳ</t>
  </si>
  <si>
    <t>Lịch, trạng thái, lỗi</t>
  </si>
  <si>
    <t>SCR-62</t>
  </si>
  <si>
    <t>Báo cáo và xuất dữ liệu</t>
  </si>
  <si>
    <t>/admin/reports</t>
  </si>
  <si>
    <t>Báo cáo Excel/CSV, doanh thu theo người giao</t>
  </si>
  <si>
    <t>SCR-63</t>
  </si>
  <si>
    <t>Nhân sự và phân quyền</t>
  </si>
  <si>
    <t>Tài khoản nhân sự, vai trò</t>
  </si>
  <si>
    <t>Danh sách, xử lý</t>
  </si>
  <si>
    <t>Đánh giá VNPay cho FPTPost</t>
  </si>
  <si>
    <t>Mức phù hợp theo từng nhu cầu, phương án rút tiền, điều kiện go-live (căn cứ tài liệu công khai tại thời điểm 10/2026; cần xác nhận với VNPay trước khi vận hành)</t>
  </si>
  <si>
    <t>1. Kết luận</t>
  </si>
  <si>
    <t>Thu tiền (nạp ví, thanh toán đơn)</t>
  </si>
  <si>
    <t>PHÙ HỢP – dùng VNPay làm cổng thanh toán duy nhất cho pay-in.</t>
  </si>
  <si>
    <t>PHÙ HỢP CÓ ĐIỀU KIỆN – hoàn về nguồn bằng API VNPay; mặc định hoàn vào ví để tức thì.</t>
  </si>
  <si>
    <t>Ký quỹ và chia tiền cho người giao</t>
  </si>
  <si>
    <t>KHÔNG CÓ SẴN trong cổng thanh toán – thực hiện bằng sổ cái nội bộ; kèm rủi ro pháp lý về ví/ký quỹ.</t>
  </si>
  <si>
    <t>Rút tiền cho người giao</t>
  </si>
  <si>
    <t>KHÔNG ĐÁP ỨNG qua API công khai của cổng thanh toán – thiết kế PayoutProvider (Mock + Thủ công); thương mại hóa cần hợp đồng chi hộ.</t>
  </si>
  <si>
    <t>Khuyến nghị tổng thể</t>
  </si>
  <si>
    <t>Dùng VNPay cho thu tiền và hoàn tiền; tách rút tiền thành module thay thế được. Đây là kiến trúc đã phản ánh trong UC-34..43 và ràng buộc BR-C.</t>
  </si>
  <si>
    <t>2. Ma trận năng lực theo nhu cầu của FPTPost</t>
  </si>
  <si>
    <t>Nhu cầu</t>
  </si>
  <si>
    <t>Khả năng của VNPay (tài liệu công khai)</t>
  </si>
  <si>
    <t>Mức phù hợp</t>
  </si>
  <si>
    <t>Cách xử lý trong thiết kế</t>
  </si>
  <si>
    <t>Tham chiếu</t>
  </si>
  <si>
    <t>Nạp tiền vào ví (pay-in)</t>
  </si>
  <si>
    <t>Cổng thanh toán: tạo liên kết thanh toán có chữ ký HMAC-SHA512; người dùng thanh toán bằng QR, thẻ nội địa, ví được hỗ trợ; kết quả trả về qua Return URL và IPN.</t>
  </si>
  <si>
    <t>Phù hợp</t>
  </si>
  <si>
    <t>Dùng trực tiếp; mã tham chiếu duy nhất; hết hạn 15 phút; chỉ ghi có khi IPN hợp lệ.</t>
  </si>
  <si>
    <t>Thanh toán ký quỹ trực tiếp từng đơn</t>
  </si>
  <si>
    <t>Cùng luồng thanh toán như trên; mỗi giao dịch gắn một mã tham chiếu.</t>
  </si>
  <si>
    <t>Tạo giao dịch purpose=ORDER; thành công thì ghi bút toán ký quỹ.</t>
  </si>
  <si>
    <t>Xác nhận kết quả bất đồng bộ</t>
  </si>
  <si>
    <t>IPN (server-to-server) và API truy vấn kết quả giao dịch.</t>
  </si>
  <si>
    <t>Xử lý nghiệp vụ trong IPN idempotent; job truy vấn lại giao dịch treo; Return URL chỉ để hiển thị.</t>
  </si>
  <si>
    <t>Hoàn tiền về nguồn thanh toán</t>
  </si>
  <si>
    <t>API hoàn tiền (toàn phần/một phần) cho giao dịch đã thành công; hoàn về đúng phương thức ban đầu; thời gian tiền về tùy ngân hàng.</t>
  </si>
  <si>
    <t>Phù hợp có điều kiện</t>
  </si>
  <si>
    <t>Mặc định hoàn vào ví (tức thì); hoàn về nguồn chỉ khi người dùng yêu cầu và giao dịch gốc là VNPay.</t>
  </si>
  <si>
    <t>Giữ tiền (escrow) và giải ngân</t>
  </si>
  <si>
    <t>Không có tính năng giữ-và-giải-ngân dành cho sàn; tiền thu về tài khoản merchant.</t>
  </si>
  <si>
    <t>Không có sẵn</t>
  </si>
  <si>
    <t>Thực hiện bằng sổ cái nội bộ; ghi rõ rủi ro pháp lý về ví/ký quỹ.</t>
  </si>
  <si>
    <t>Chia tiền tự động cho người giao</t>
  </si>
  <si>
    <t>Không có chia tiền (split payment) công khai trong tài liệu cổng thanh toán.</t>
  </si>
  <si>
    <t>Chia bằng bút toán nội bộ khi giải ngân.</t>
  </si>
  <si>
    <t>Rút tiền về tài khoản ngân hàng của người giao (pay-out)</t>
  </si>
  <si>
    <t>Tài liệu tích hợp công khai (thanh toán, truy vấn, hoàn tiền) không có API chi tiền cho người dùng cuối. VNPAY có dịch vụ thu hộ/chi hộ theo giấy phép nhưng cần hợp đồng doanh nghiệp riêng.</t>
  </si>
  <si>
    <t>Không đáp ứng qua API công khai</t>
  </si>
  <si>
    <t>PayoutProvider: Mock cho demo, Thủ công (Admin chuyển khoản và nhập mã tham chiếu); thay bằng nhà cung cấp chi hộ khi thương mại hóa.</t>
  </si>
  <si>
    <t>Xác thực chủ tài khoản nhận tiền</t>
  </si>
  <si>
    <t>Không nằm trong cổng thanh toán.</t>
  </si>
  <si>
    <t>So khớp họ tên KYC với tên chủ tài khoản; Admin đối chiếu thủ công; nhà cung cấp chi hộ thường có tra cứu tên.</t>
  </si>
  <si>
    <t>Môi trường thử nghiệm</t>
  </si>
  <si>
    <t>Sandbox đăng ký bằng tài khoản dev, có thẻ thử nghiệm và tài liệu mẫu nhiều ngôn ngữ (có Java, NodeJS).</t>
  </si>
  <si>
    <t>Dùng sandbox suốt dự án; khóa production tách riêng.</t>
  </si>
  <si>
    <t>CT-09</t>
  </si>
  <si>
    <t>Merchant có thể truy vấn giao dịch; có báo cáo trên cổng quản trị của VNPay.</t>
  </si>
  <si>
    <t>Phù hợp một phần</t>
  </si>
  <si>
    <t>Tự đối soát bằng API truy vấn; so khớp với sổ cái; cảnh báo lệch.</t>
  </si>
  <si>
    <t>Bảo mật dữ liệu thẻ</t>
  </si>
  <si>
    <t>Người dùng nhập thẻ trên trang VNPay; merchant không chạm vào dữ liệu thẻ.</t>
  </si>
  <si>
    <t>Không lưu dữ liệu thẻ; chỉ lưu mã giao dịch và trạng thái.</t>
  </si>
  <si>
    <t>BR-C Thanh toán qua VNPay</t>
  </si>
  <si>
    <t>Yêu cầu kết nối mạng</t>
  </si>
  <si>
    <t>IPN và Return URL cần địa chỉ công khai từ Internet.</t>
  </si>
  <si>
    <t>Cần chuẩn bị</t>
  </si>
  <si>
    <t>Dùng tunnel (cloudflared/ngrok) khi phát triển; domain thật khi demo.</t>
  </si>
  <si>
    <t>Phí giao dịch và hạn mức</t>
  </si>
  <si>
    <t>Phí và hạn mức phụ thuộc hợp đồng và ngân hàng; không công bố trong tài liệu sandbox.</t>
  </si>
  <si>
    <t>Chưa xác định</t>
  </si>
  <si>
    <t>Không cố định trong mã; hạn mức là tham số cấu hình; xác nhận bảng phí với VNPay trước khi vận hành.</t>
  </si>
  <si>
    <t>PRM hạn mức nạp</t>
  </si>
  <si>
    <t>3. So sánh phương án rút tiền (payout)</t>
  </si>
  <si>
    <t>Phương án</t>
  </si>
  <si>
    <t>Chi phí</t>
  </si>
  <si>
    <t>Độ phức tạp</t>
  </si>
  <si>
    <t>Tính pháp lý</t>
  </si>
  <si>
    <t>Tự động hóa</t>
  </si>
  <si>
    <t>Phù hợp đồ án</t>
  </si>
  <si>
    <t>Phù hợp thương mại hóa</t>
  </si>
  <si>
    <t>Khuyến nghị</t>
  </si>
  <si>
    <t>A. VNPAY chi hộ (hợp đồng doanh nghiệp)</t>
  </si>
  <si>
    <t>Ký hợp đồng thu hộ/chi hộ với VNPAY để chi tiền tự động về tài khoản người giao.</t>
  </si>
  <si>
    <t>Theo hợp đồng</t>
  </si>
  <si>
    <t>Tốt (đơn vị được cấp phép)</t>
  </si>
  <si>
    <t>Thấp (cần pháp nhân, hợp đồng)</t>
  </si>
  <si>
    <t>Hướng thương mại hóa</t>
  </si>
  <si>
    <t>B. Nhà cung cấp chi hộ khác</t>
  </si>
  <si>
    <t>Dùng dịch vụ chi tiền của đơn vị khác (ví dụ kênh chi của payOS); cần kiểm tra điều kiện đăng ký, phí, sandbox.</t>
  </si>
  <si>
    <t>Theo bảng phí nhà cung cấp</t>
  </si>
  <si>
    <t>Cần xác nhận</t>
  </si>
  <si>
    <t>Trung bình (cần khảo sát)</t>
  </si>
  <si>
    <t>Phương án thay thế khi thương mại hóa</t>
  </si>
  <si>
    <t>C. Duyệt thủ công + Admin chuyển khoản</t>
  </si>
  <si>
    <t>Admin duyệt hai cấp, chuyển khoản ngoài hệ thống (VietQR/ngân hàng), nhập mã tham chiếu.</t>
  </si>
  <si>
    <t>Thấp</t>
  </si>
  <si>
    <t>Cần xem xét nếu dùng tiền thật</t>
  </si>
  <si>
    <t>Triển khai (Manual provider)</t>
  </si>
  <si>
    <t>D. Mock PayoutProvider</t>
  </si>
  <si>
    <t>Giả lập chi trả: tự chuyển PAID sau thời gian cấu hình để demo toàn bộ luồng.</t>
  </si>
  <si>
    <t>Không phát sinh tiền thật</t>
  </si>
  <si>
    <t>Rất cao</t>
  </si>
  <si>
    <t>Không áp dụng</t>
  </si>
  <si>
    <t>Triển khai (Mock provider)</t>
  </si>
  <si>
    <t>4. Luồng tiền khuyến nghị</t>
  </si>
  <si>
    <t>Người dùng → VNPay → IPN hợp lệ → ghi sổ cái: VNPAY_CLEARING → ví người dùng.</t>
  </si>
  <si>
    <t>Ví (hoặc VNPay trực tiếp) → tài khoản ESCROW của đơn.</t>
  </si>
  <si>
    <t>ESCROW → ví người giao (phí giao − hoa hồng) + PLATFORM_REVENUE (hoa hồng − phần quỹ) + GUARANTEE_FUND (phần quỹ + bảo hiểm).</t>
  </si>
  <si>
    <t>ESCROW → ví người gửi (mặc định) hoặc → VNPay hoàn về nguồn (khi yêu cầu).</t>
  </si>
  <si>
    <t>Ví khả dụng → chờ rút → duyệt hai cấp → PayoutProvider (Mock/Thủ công/nhà cung cấp thật) → PAYOUT_CLEARING.</t>
  </si>
  <si>
    <t>5. Điều kiện trước khi vận hành với tiền thật (go-live)</t>
  </si>
  <si>
    <t>Điều kiện 1</t>
  </si>
  <si>
    <t>Ký hợp đồng merchant với VNPay và nhận thông tin môi trường production (mã merchant, khóa bí mật).</t>
  </si>
  <si>
    <t>Điều kiện 2</t>
  </si>
  <si>
    <t>Hoàn tất kịch bản kiểm thử tích hợp (SIT) với VNPay theo yêu cầu của đơn vị.</t>
  </si>
  <si>
    <t>Điều kiện 3</t>
  </si>
  <si>
    <t>Xác nhận bảng phí giao dịch và hạn mức theo từng phương thức thanh toán; cập nhật tham số hạn mức.</t>
  </si>
  <si>
    <t>Điều kiện 4</t>
  </si>
  <si>
    <t>Thẩm định pháp lý về ví và ký quỹ (Nghị định 52/2024/NĐ-CP): dùng đối tác có giấy phép hoặc xin phép.</t>
  </si>
  <si>
    <t>Điều kiện 5</t>
  </si>
  <si>
    <t>Ký hợp đồng dịch vụ chi hộ (VNPAY hoặc nhà cung cấp khác) và thay thế Mock/Manual PayoutProvider.</t>
  </si>
  <si>
    <t>Điều kiện 6</t>
  </si>
  <si>
    <t>Thẩm định nghĩa vụ thuế khi thanh toán qua nền tảng (Nghị định 117/2025/NĐ-CP) và cấu hình khấu trừ.</t>
  </si>
  <si>
    <t>Điều kiện 7</t>
  </si>
  <si>
    <t>Tên miền công khai, chứng chỉ TLS, địa chỉ IPN cố định; chính sách đối soát và xử lý khiếu nại giao dịch.</t>
  </si>
  <si>
    <t>6. Nguồn tham khảo</t>
  </si>
  <si>
    <t>Tài liệu tích hợp VNPay (sandbox)</t>
  </si>
  <si>
    <t>https://sandbox.vnpayment.vn/apis/docs/</t>
  </si>
  <si>
    <t>Cổng đăng ký sandbox VNPay</t>
  </si>
  <si>
    <t>https://sandbox.vnpayment.vn/</t>
  </si>
  <si>
    <t>Thông báo giấy phép của VNPAY (số 70/GP-NHNN, 11/9/2025)</t>
  </si>
  <si>
    <t>vnpay.vn – mục Thông báo</t>
  </si>
  <si>
    <t>Nghị định 52/2024/NĐ-CP</t>
  </si>
  <si>
    <t>Về thanh toán không dùng tiền mặt (dịch vụ trung gian thanh toán, ví điện tử)</t>
  </si>
  <si>
    <t>Nghị định 117/2025/NĐ-CP</t>
  </si>
  <si>
    <t>Quản lý thuế đối với hoạt động kinh doanh trên nền tảng thương mại điện tử</t>
  </si>
  <si>
    <t>Kênh chi payOS (ví dụ phương án B)</t>
  </si>
  <si>
    <t>https://payos.vn/</t>
  </si>
  <si>
    <t>Kế hoạch 5 tuần và phân bổ nhân sự</t>
  </si>
  <si>
    <t>Công suất, tải theo thành viên và sprint, kế hoạch 5 sprint, biểu đồ Gantt. Dữ liệu giờ UC và tiến độ được đồng bộ tự động từ '15_Chia task(UC)' qua '04_UC'.</t>
  </si>
  <si>
    <t>A. Thông số công suất (ô vàng là đầu vào)</t>
  </si>
  <si>
    <t>Giờ khả dụng mỗi thành viên mỗi tuần</t>
  </si>
  <si>
    <t>Giả định; chỉnh theo thực tế lịch học</t>
  </si>
  <si>
    <t>Số tuần của dự án</t>
  </si>
  <si>
    <t>5 tuần trước Deploy</t>
  </si>
  <si>
    <t>Số tuần mỗi sprint</t>
  </si>
  <si>
    <t>1 tuần mỗi sprint</t>
  </si>
  <si>
    <t>Giờ họp và review mỗi thành viên mỗi sprint</t>
  </si>
  <si>
    <t>Planning, review, retro, code review</t>
  </si>
  <si>
    <t>Số thành viên</t>
  </si>
  <si>
    <t>Tính từ bảng B</t>
  </si>
  <si>
    <t>Công suất mỗi thành viên mỗi sprint (giờ)</t>
  </si>
  <si>
    <t>Công thức</t>
  </si>
  <si>
    <t>Công suất tổng toàn dự án (giờ)</t>
  </si>
  <si>
    <t>B. Thành viên và tải tổng (sprint 1–5)</t>
  </si>
  <si>
    <t>Thành viên</t>
  </si>
  <si>
    <t>Giờ UC</t>
  </si>
  <si>
    <t>Giờ việc chung</t>
  </si>
  <si>
    <t>Giờ họp</t>
  </si>
  <si>
    <t>Tổng kế hoạch</t>
  </si>
  <si>
    <t>Công suất</t>
  </si>
  <si>
    <t>Mức sử dụng</t>
  </si>
  <si>
    <t>Giờ UC Backlog</t>
  </si>
  <si>
    <t>Lát cắt phụ trách và công nghệ</t>
  </si>
  <si>
    <t>Lư Hữu Luân</t>
  </si>
  <si>
    <t>Lead Dev - AUTH &amp; KYC</t>
  </si>
  <si>
    <t>Quản lý vòng đời tài khoản, Spring Security + JWT, xác thực OTP qua Email/SMS, upload CCCD lên Cloud/S3.</t>
  </si>
  <si>
    <t>Nguyễn Thành Huy</t>
  </si>
  <si>
    <t>Fullstack - ORD</t>
  </si>
  <si>
    <t>Công thức tính giá vận chuyển, validation kích thước/tải trọng, vòng đời đơn hàng (State Machine), cấu hình danh mục.</t>
  </si>
  <si>
    <t>Võ Quốc An</t>
  </si>
  <si>
    <t>Fullstack - MKT &amp; REL</t>
  </si>
  <si>
    <t>Sàn gom đơn, cơ chế khóa đơn chống tranh chấp đồng thời (Optimistic/Pessimistic Locking), flow chào giá / phản giá, thuật toán ghép đơn.</t>
  </si>
  <si>
    <t>Huỳnh Phi Long</t>
  </si>
  <si>
    <t>Fullstack - TRK &amp; NEG</t>
  </si>
  <si>
    <t>WebSocket/STOMP chat, live tracking vị trí (MongoDB/Redis Geolocation), xác thực giao nhận bằng QR Code + OTP, xử lý sự cố.</t>
  </si>
  <si>
    <t>Lê Nhựt Huy</t>
  </si>
  <si>
    <t>Fullstack - PAY</t>
  </si>
  <si>
    <t>Tích hợp cổng VNPay (Checksum, Return URL, IPN Idempotent), tài khoản ký quỹ (Escrow), giải ngân, rút tiền, sổ cái kép không lệch số.</t>
  </si>
  <si>
    <t>Trần Công Thuận</t>
  </si>
  <si>
    <t>Fullstack - ADM, SAF &amp; CORE</t>
  </si>
  <si>
    <t>Admin Portal quản trị, hàng đợi duyệt KYC / Rút tiền / Khiếu nại, Spring Task Scheduler nền, Dashboard tổng hợp, hạ tầng Base &amp; CI/CD.</t>
  </si>
  <si>
    <t>C. Tổng giờ kế hoạch theo sprint (UC + việc chung + họp)</t>
  </si>
  <si>
    <t>D. Mức sử dụng so với công suất sprint (đỏ &gt; 105%, vàng 100–105%)</t>
  </si>
  <si>
    <t>Cả dự án</t>
  </si>
  <si>
    <t>Toàn đội</t>
  </si>
  <si>
    <t>E. Kế hoạch 5 sprint và mốc Deploy</t>
  </si>
  <si>
    <t>Sprint</t>
  </si>
  <si>
    <t>Tuần</t>
  </si>
  <si>
    <t>Tên sprint</t>
  </si>
  <si>
    <t>Mục tiêu</t>
  </si>
  <si>
    <t>Tiêu chí hoàn thành / nội dung demo</t>
  </si>
  <si>
    <t>Checkpoint theo đề cương</t>
  </si>
  <si>
    <t>Tuần 1 (10/10 - 12/10/2026)</t>
  </si>
  <si>
    <t>Khởi động và nền tảng</t>
  </si>
  <si>
    <t>Chốt SRS/SPEC, dựng khung BE/FE, cấu hình hệ thống &amp; thông báo, hoàn thiện xác thực OTP, tạo đơn cơ bản, duyệt KYC và nạp tiền/ký quỹ VNPay (13 UC).</t>
  </si>
  <si>
    <t>Demo: đăng ký → OTP → đăng nhập → đăng xuất; pipeline CI xanh; tạo được liên kết thanh toán sandbox.</t>
  </si>
  <si>
    <t>Project Assistant 01</t>
  </si>
  <si>
    <t>Tuần 2 (13/10 - 19/10/2026)</t>
  </si>
  <si>
    <t>Hồ sơ, KYC, tạo đơn, nạp tiền</t>
  </si>
  <si>
    <t>Hoàn thiện luồng đăng nhập/phiên, xem &amp; sửa đơn, gửi &amp; xử lý chào giá, theo dõi realtime, giải ngân, IPN VNPay và kiểm duyệt đơn hàng (13 UC).</t>
  </si>
  <si>
    <t>Demo: người gửi nhập địa chỉ, nhận giá, đăng đơn; nạp ví thành công; IPN lặp không cộng hai lần.</t>
  </si>
  <si>
    <t>Project Assistant 02</t>
  </si>
  <si>
    <t>Tuần 3 (20/10 - 26/10/2026)</t>
  </si>
  <si>
    <t>Sàn đơn, thương lượng, chat, ký quỹ</t>
  </si>
  <si>
    <t>Đổi mật khẩu, đăng ký người giao, quản lý chuyến đi, xác nhận lấy hàng QR, báo sự cố, ví &amp; rút tiền, danh mục, khuyến mãi &amp; khiếu nại (13 UC).</t>
  </si>
  <si>
    <t>Demo: luồng đăng đơn → chào giá → chấp nhận → ký quỹ; chat realtime; lấy/giao hàng ban đầu.</t>
  </si>
  <si>
    <t>Project Assistant 03</t>
  </si>
  <si>
    <t>Tuần 4 (27/10 - 02/11/2026)</t>
  </si>
  <si>
    <t>Giao nhận, dòng tiền và hoàn thiện tính năng</t>
  </si>
  <si>
    <t>Quản lý hồ sơ &amp; KYC, mời shipper, gợi ý ghép đơn, giao thất bại, tạo đơn tiếp sức, ngân hàng nhận tiền, đối soát giao dịch, đánh giá &amp; xử lý vi phạm (12 UC).</t>
  </si>
  <si>
    <t>Demo end-to-end: toàn bộ vòng đời đơn hàng từ tạo đến giải ngân; hoàn tiền khi hủy; đối chiếu sổ cái.</t>
  </si>
  <si>
    <t>Project Assistant 04</t>
  </si>
  <si>
    <t>Tuần 5 (03/11 - 13/11/2026)</t>
  </si>
  <si>
    <t>Nghiệm thu, tối ưu, bảo mật &amp; Sẵn sàng Deploy</t>
  </si>
  <si>
    <t>Hoàn tất đặt lại mật khẩu, hủy đơn, gộp đơn, bàn giao chặng, hoàn tiền, uy tín, báo cáo dashboard, scheduler, gamification; Hardening &amp; UAT toàn diện (12 UC).</t>
  </si>
  <si>
    <t>Nghiệm thu: 100% Use Case hoàn thành; báo cáo kiểm thử đầy đủ; sản phẩm hoàn chỉnh sẵn sàng Deploy.</t>
  </si>
  <si>
    <t>Project Evaluation</t>
  </si>
  <si>
    <t>Deploy</t>
  </si>
  <si>
    <t>Triển khai chính thức (Production Deploy)</t>
  </si>
  <si>
    <t>Triển khai hệ thống lên môi trường Production, nghiệm thu đồ án cuối kỳ, bàn giao vận hành.</t>
  </si>
  <si>
    <t>Hệ thống hoạt động ổn định trên môi trường Production, đáp ứng 100% tiêu chí đề ra.</t>
  </si>
  <si>
    <t>Go-Live Milestone</t>
  </si>
  <si>
    <t>Lưu ý: các phiên Project Assistant 01–05 và Project Evaluation trong đề cương được đề xuất làm điểm demo cuối sprint; nhóm đối chiếu ngày cụ thể với lịch lớp.</t>
  </si>
  <si>
    <t>F. Use Case hoàn thành theo 5 sprint (UC hoàn thành = BE và FE cùng xong)</t>
  </si>
  <si>
    <t>Sprint 1</t>
  </si>
  <si>
    <t>UC-01, UC-02, UC-09, UC-11, UC-12, UC-16, UC-17, UC-24, UC-26, UC-34, UC-35, UC-46, UC-53 (13 UC)</t>
  </si>
  <si>
    <t>Sprint 2</t>
  </si>
  <si>
    <t>UC-03, UC-04, UC-13, UC-14, UC-18, UC-19, UC-27, UC-28, UC-36, UC-41, UC-42, UC-49, UC-54 (13 UC)</t>
  </si>
  <si>
    <t>Sprint 3</t>
  </si>
  <si>
    <t>UC-06, UC-10, UC-22, UC-23, UC-25, UC-29, UC-38, UC-40, UC-44, UC-45, UC-51, UC-57, UC-58 (13 UC)</t>
  </si>
  <si>
    <t>Sprint 4</t>
  </si>
  <si>
    <t>UC-07, UC-08, UC-20, UC-21, UC-30, UC-32, UC-39, UC-43, UC-47, UC-52, UC-55, UC-56 (12 UC)</t>
  </si>
  <si>
    <t>Sprint 5</t>
  </si>
  <si>
    <t>UC-05, UC-15, UC-31, UC-33, UC-37, UC-48, UC-50, UC-59, UC-60, UC-61, UC-62, UC-63 (12 UC) • Hardening, kiểm thử bảo mật &amp; UAT toàn diện</t>
  </si>
  <si>
    <t>Mốc Deploy</t>
  </si>
  <si>
    <t>14/11/2026: Triển khai chính thức 100% chức năng hệ thống lên môi trường Production</t>
  </si>
  <si>
    <t>Toàn bộ 63/63 Use Case được hoàn thành trong 5 sprint (10/10 - 13/11/2026), 0 tồn đọng</t>
  </si>
  <si>
    <t>G. Biểu đồ Gantt theo phân hệ (khung 5 tuần trước Deploy; thanh màu cam = giai đoạn thực hiện)</t>
  </si>
  <si>
    <t>Từ tuần</t>
  </si>
  <si>
    <t>Đến tuần</t>
  </si>
  <si>
    <t>Phân hệ / Bounded Context</t>
  </si>
  <si>
    <t>Use Case trực thuộc (Ưu tiên Phase 1)</t>
  </si>
  <si>
    <t>Tổng UC</t>
  </si>
  <si>
    <t>Người phụ trách</t>
  </si>
  <si>
    <t>Định hướng nghiệp vụ &amp; Trọng tâm kỹ thuật</t>
  </si>
  <si>
    <t>Người phụ trách (Fullstack / AI-assisted)</t>
  </si>
  <si>
    <t>AUTH &amp; KYC (Identity &amp; Access)</t>
  </si>
  <si>
    <t>UC-01, UC-02, UC-03, UC-04, UC-05, UC-06, UC-07, UC-08, UC-10</t>
  </si>
  <si>
    <t>ORD (Order Management &amp; Pricing)</t>
  </si>
  <si>
    <t>UC-11, UC-12, UC-13, UC-14, UC-15, UC-58</t>
  </si>
  <si>
    <t>MKT &amp; REL (Marketplace &amp; Matching)</t>
  </si>
  <si>
    <t>UC-16, UC-17, UC-18, UC-19, UC-20, UC-21, UC-22, UC-23, UC-31</t>
  </si>
  <si>
    <t>TRK &amp; NEG (Execution &amp; Real-time)</t>
  </si>
  <si>
    <t>UC-24, UC-25, UC-26, UC-27, UC-28, UC-29, UC-30</t>
  </si>
  <si>
    <t>PAY (Fintech &amp; Double-Entry Ledger)</t>
  </si>
  <si>
    <t>UC-34, UC-35, UC-36, UC-37, UC-38, UC-39, UC-40, UC-42, UC-43</t>
  </si>
  <si>
    <t>ADM, SAF &amp; CORE (Backoffice &amp; Platform)</t>
  </si>
  <si>
    <t>UC-09, UC-41, UC-51, UC-52, UC-53, UC-54, UC-55, UC-56, UC-57, UC-59, UC-63</t>
  </si>
  <si>
    <t>Dev (Cột E)</t>
  </si>
  <si>
    <t>Sprint hoàn thành (Cột F)</t>
  </si>
  <si>
    <t>Đánh giá hai chiều sau giao hàng</t>
  </si>
  <si>
    <t>Xem uy tín và xếp hạng</t>
  </si>
  <si>
    <t>Tính toán và cập nhật hạng định kỳ</t>
  </si>
  <si>
    <t>Sổ đăng ký rủi ro</t>
  </si>
  <si>
    <t>Điểm rủi ro = Xác suất × Tác động (thang 1–5). Cao ≥ 15; Trung bình 8–14; Thấp &lt; 8.</t>
  </si>
  <si>
    <t>Mô tả rủi ro</t>
  </si>
  <si>
    <t>Xác suất</t>
  </si>
  <si>
    <t>Tác động</t>
  </si>
  <si>
    <t>Điểm</t>
  </si>
  <si>
    <t>Mức</t>
  </si>
  <si>
    <t>Biện pháp giảm thiểu</t>
  </si>
  <si>
    <t>Phương án dự phòng</t>
  </si>
  <si>
    <t>Phụ trách</t>
  </si>
  <si>
    <t>Liên quan</t>
  </si>
  <si>
    <t>R-01</t>
  </si>
  <si>
    <t>Pháp lý</t>
  </si>
  <si>
    <t>Việc giữ số dư ví và ký quỹ của người dùng có thể thuộc dịch vụ ví điện tử/trung gian thanh toán cần giấy phép của Ngân hàng Nhà nước.</t>
  </si>
  <si>
    <t>Chỉ vận hành sandbox/tiền mô phỏng; hiển thị nhãn môi trường thử nghiệm; kiến trúc cho phép chuyển sang đối tác có giấy phép; thẩm định pháp lý trước thương mại hóa.</t>
  </si>
  <si>
    <t>Chuyển mô hình sang thanh toán qua đối tác được cấp phép, không giữ tiền ở nền tảng.</t>
  </si>
  <si>
    <t>TV1</t>
  </si>
  <si>
    <t>BR-C Ràng buộc pháp lý về ví; UC-35, UC-38</t>
  </si>
  <si>
    <t>Mở</t>
  </si>
  <si>
    <t>R-02</t>
  </si>
  <si>
    <t>Cổng thanh toán VNPay công khai không có API chi tiền, nên chức năng rút tiền không tự động hóa được bằng VNPay.</t>
  </si>
  <si>
    <t>Thiết kế PayoutProvider (Mock, Thủ công); duyệt hai cấp; đánh dấu rõ trong tài liệu và demo.</t>
  </si>
  <si>
    <t>Dùng nhà cung cấp chi hộ khác hoặc hợp đồng chi hộ khi thương mại hóa.</t>
  </si>
  <si>
    <t>BR-C Giới hạn của VNPay về rút tiền; UC-40, UC-41</t>
  </si>
  <si>
    <t>R-03</t>
  </si>
  <si>
    <t>Phạm vi</t>
  </si>
  <si>
    <t>Phạm vi lớn (286 BR, 63 UC) so với 12 tuần và 6 thành viên.</t>
  </si>
  <si>
    <t>Phân MoSCoW; Could đưa vào backlog; rà soát phạm vi ở cuối sprint 3; mỗi UC có người phụ trách rõ.</t>
  </si>
  <si>
    <t>Cắt UC Should/Could; giữ trọn vẹn luồng đơn–tiền–giao.</t>
  </si>
  <si>
    <t>Sheet 13, 14</t>
  </si>
  <si>
    <t>R-04</t>
  </si>
  <si>
    <t>Kỹ thuật</t>
  </si>
  <si>
    <t>Sai lệch sổ cái hoặc xử lý tiền sai do truy cập đồng thời/lặp yêu cầu.</t>
  </si>
  <si>
    <t>Bút toán kép; khóa idempotency; khóa lạc quan; kiểm thử đồng thời; đối soát hằng ngày.</t>
  </si>
  <si>
    <t>Đóng băng giao dịch tiền và điều chỉnh bằng bút toán điều chỉnh có phê duyệt.</t>
  </si>
  <si>
    <t>BR-N Giao dịch tiền idempotent; UC-43</t>
  </si>
  <si>
    <t>R-05</t>
  </si>
  <si>
    <t>Tích hợp</t>
  </si>
  <si>
    <t>IPN của VNPay không nhận được (mạng, tunnel, tường lửa) làm giao dịch treo.</t>
  </si>
  <si>
    <t>Dùng tunnel công khai cho môi trường dev; job truy vấn giao dịch treo; ghi log IPN thô.</t>
  </si>
  <si>
    <t>Admin đối soát thủ công bằng truy vấn kết quả.</t>
  </si>
  <si>
    <t>R-06</t>
  </si>
  <si>
    <t>Dịch vụ bản đồ/định tuyến miễn phí bị giới hạn hoặc ngừng.</t>
  </si>
  <si>
    <t>Bộ nhớ đệm kết quả; phương án dự phòng khoảng cách đường chim bay × 1,3.</t>
  </si>
  <si>
    <t>Chuyển sang nhà cung cấp định tuyến khác qua cấu hình.</t>
  </si>
  <si>
    <t>TV3</t>
  </si>
  <si>
    <t>BR-C Phụ thuộc dịch vụ bản đồ; UC-11</t>
  </si>
  <si>
    <t>R-07</t>
  </si>
  <si>
    <t>Chia sẻ vị trí trên trình duyệt web bị hạn chế khi chạy nền/khóa màn hình.</t>
  </si>
  <si>
    <t>Hướng dẫn giữ trang mở; dùng Screen Wake Lock; gửi bù theo lô khi có mạng; ghi nhận giới hạn trong tài liệu.</t>
  </si>
  <si>
    <t>Nâng cấp PWA hoặc ứng dụng native ở giai đoạn sau.</t>
  </si>
  <si>
    <t>TV6</t>
  </si>
  <si>
    <t>BR-C Phạm vi trình duyệt; UC-26</t>
  </si>
  <si>
    <t>R-08</t>
  </si>
  <si>
    <t>Gian lận</t>
  </si>
  <si>
    <t>Giả mạo CCCD, đăng ký nhiều tài khoản.</t>
  </si>
  <si>
    <t>Duyệt thủ công; CCCD duy nhất; danh sách đen; ảnh chân dung cầm CCCD.</t>
  </si>
  <si>
    <t>Khóa tài khoản; thu hồi quyền nhận đơn.</t>
  </si>
  <si>
    <t>TV2</t>
  </si>
  <si>
    <t>BR-R Duy nhất CCCD; UC-08, UC-09</t>
  </si>
  <si>
    <t>R-09</t>
  </si>
  <si>
    <t>Giao dịch ngoài nền tảng để né phí và ký quỹ.</t>
  </si>
  <si>
    <t>Che SĐT đến khi ký quỹ; cảnh báo mẫu thông tin liên hệ trong chat; hoa hồng thấp tạo động lực ở lại.</t>
  </si>
  <si>
    <t>Trừ điểm/khóa tài khoản vi phạm lặp lại.</t>
  </si>
  <si>
    <t>BR-R Chống giao dịch ngoài nền tảng; UC-24</t>
  </si>
  <si>
    <t>R-10</t>
  </si>
  <si>
    <t>An toàn</t>
  </si>
  <si>
    <t>Vận chuyển hàng cấm hoặc nguy hiểm.</t>
  </si>
  <si>
    <t>Danh mục và từ khóa cấm; kiểm duyệt tự động và thủ công; điều khoản rõ ràng; báo cáo vi phạm.</t>
  </si>
  <si>
    <t>Khóa tài khoản, báo cơ quan chức năng khi cần.</t>
  </si>
  <si>
    <t>BR-C Hàng hóa bị cấm; UC-54</t>
  </si>
  <si>
    <t>R-11</t>
  </si>
  <si>
    <t>Vận hành</t>
  </si>
  <si>
    <t>Mất hoặc hư hỏng hàng, tranh chấp nhiều.</t>
  </si>
  <si>
    <t>Bằng chứng giao nhận; bảo hiểm tùy chọn; Quỹ bảo đảm; hạn mức theo hạng.</t>
  </si>
  <si>
    <t>Bồi thường theo phán quyết; hạn chế người giao vi phạm.</t>
  </si>
  <si>
    <t>BR-R Điều kiện bồi thường; UC-50..52</t>
  </si>
  <si>
    <t>R-12</t>
  </si>
  <si>
    <t>Thị trường</t>
  </si>
  <si>
    <t>Thiếu người giao ở giai đoạn đầu (bài toán hai phía).</t>
  </si>
  <si>
    <t>Tập trung cộng đồng FPT; mời người giao nội bộ; hoa hồng thấp; thưởng giới thiệu.</t>
  </si>
  <si>
    <t>Giới hạn phạm vi địa lý và khung giờ cao điểm.</t>
  </si>
  <si>
    <t>BR-G Quy mô cộng đồng</t>
  </si>
  <si>
    <t>R-13</t>
  </si>
  <si>
    <t>Bảo mật</t>
  </si>
  <si>
    <t>Rò rỉ dữ liệu cá nhân và ảnh KYC.</t>
  </si>
  <si>
    <t>Mã hóa tại nghỉ; liên kết có thời hạn; phân quyền chặt; nhật ký truy cập; kiểm thử bảo mật.</t>
  </si>
  <si>
    <t>Quy trình ứng phó sự cố, thông báo người dùng theo quy định.</t>
  </si>
  <si>
    <t>BR-N Mã hóa dữ liệu nhạy cảm</t>
  </si>
  <si>
    <t>R-14</t>
  </si>
  <si>
    <t>Nhân sự</t>
  </si>
  <si>
    <t>Thành viên nghỉ hoặc quá tải; kỹ năng chưa đều (WebSocket, MongoDB, Spring Security).</t>
  </si>
  <si>
    <t>Spike kỹ thuật trong sprint 1; mỗi module có người dự phòng; pair programming; tài liệu hướng dẫn.</t>
  </si>
  <si>
    <t>Phân bổ lại UC; giảm phạm vi mức Should.</t>
  </si>
  <si>
    <t>Sheet 13</t>
  </si>
  <si>
    <t>R-15</t>
  </si>
  <si>
    <t>Hợp đồng API thay đổi làm chậm tích hợp frontend–backend.</t>
  </si>
  <si>
    <t>OpenAPI trước, mã sau; máy chủ giả lập; kiểm thử hợp đồng; quy tắc thay đổi API.</t>
  </si>
  <si>
    <t>Họp đồng bộ API hằng tuần.</t>
  </si>
  <si>
    <t>BR-C Giao tiếp RESTful</t>
  </si>
  <si>
    <t>R-16</t>
  </si>
  <si>
    <t>Hiệu năng</t>
  </si>
  <si>
    <t>Truy vấn sàn đơn và ghép đơn chậm khi dữ liệu lớn.</t>
  </si>
  <si>
    <t>Chỉ mục phù hợp; phân trang; kiểm thử tải sớm; bộ nhớ đệm.</t>
  </si>
  <si>
    <t>Giới hạn phạm vi tìm kiếm theo khu vực.</t>
  </si>
  <si>
    <t>BR-N Hiệu năng tìm kiếm</t>
  </si>
  <si>
    <t>R-17</t>
  </si>
  <si>
    <t>Xung đột mã và không đồng nhất giữa các thành viên.</t>
  </si>
  <si>
    <t>Quy ước nhánh và commit; PR bắt buộc có review; lint và CI.</t>
  </si>
  <si>
    <t>Họp thống nhất quy ước.</t>
  </si>
  <si>
    <t>BR-N Quy ước và review</t>
  </si>
  <si>
    <t>R-18</t>
  </si>
  <si>
    <t>Demo</t>
  </si>
  <si>
    <t>Môi trường demo lỗi (mạng, sandbox VNPay).</t>
  </si>
  <si>
    <t>Môi trường giống production; dữ liệu seed; diễn tập; video dự phòng.</t>
  </si>
  <si>
    <t>Chuyển sang Mock thanh toán và dữ liệu cục bộ.</t>
  </si>
  <si>
    <t>CT-27</t>
  </si>
  <si>
    <t>R-19</t>
  </si>
  <si>
    <t>Nghĩa vụ khấu trừ/kê khai thuế cho người giao khi thương mại hóa.</t>
  </si>
  <si>
    <t>Lưu doanh thu theo người giao; tham số khấu trừ; báo cáo doanh thu.</t>
  </si>
  <si>
    <t>Tư vấn kế toán/thuế trước khi vận hành thật.</t>
  </si>
  <si>
    <t>BR-C Ràng buộc thuế</t>
  </si>
  <si>
    <t>R-20</t>
  </si>
  <si>
    <t>Thao túng điểm uy tín hoặc đánh giá giả.</t>
  </si>
  <si>
    <t>Đánh giá ẩn đến khi cả hai gửi; chỉ đơn hoàn tất; phát hiện bất thường.</t>
  </si>
  <si>
    <t>Hủy đánh giá và tính lại điểm.</t>
  </si>
  <si>
    <t>BR-R Đánh giá ẩn; UC-47, UC-49</t>
  </si>
  <si>
    <t>R-21</t>
  </si>
  <si>
    <t>Người nhận không nhận được OTP hoặc không dùng smartphone.</t>
  </si>
  <si>
    <t>Giao ngoại lệ kèm ảnh, tọa độ, lý do; giữ ký quỹ lâu hơn; liên hệ qua điện thoại.</t>
  </si>
  <si>
    <t>Hỗ trợ xác nhận qua Kiểm duyệt.</t>
  </si>
  <si>
    <t>BR-R Giao ngoại lệ; UC-28</t>
  </si>
  <si>
    <t>R-22</t>
  </si>
  <si>
    <t>Tài liệu hoặc hành vi API VNPay thay đổi trong thời gian dự án.</t>
  </si>
  <si>
    <t>Đóng gói client VNPay thành module riêng; kiểm tra lại tài liệu mỗi sprint.</t>
  </si>
  <si>
    <t>Cập nhật client và kiểm thử lại.</t>
  </si>
  <si>
    <t>R-23</t>
  </si>
  <si>
    <t>WebSocket quá tải khi nhiều người theo dõi cùng lúc.</t>
  </si>
  <si>
    <t>Giới hạn tần suất đẩy; gộp cập nhật; kiểm thử 1.000 kết nối.</t>
  </si>
  <si>
    <t>Giảm chu kỳ gửi vị trí.</t>
  </si>
  <si>
    <t>BR-N Kết nối thời gian thực</t>
  </si>
  <si>
    <t>R-24</t>
  </si>
  <si>
    <t>Thành viên thiếu thời gian vì học môn khác hoặc kỳ thi.</t>
  </si>
  <si>
    <t>Kế hoạch có dự phòng 8–15%; sprint nhẹ ở tuần thi; chia nhỏ công việc.</t>
  </si>
  <si>
    <t>Điều chỉnh phạm vi sprint.</t>
  </si>
  <si>
    <t>Thuật ngữ và viết tắt</t>
  </si>
  <si>
    <t>Thuật ngữ</t>
  </si>
  <si>
    <t>Giải thích</t>
  </si>
  <si>
    <t>BR</t>
  </si>
  <si>
    <t>Business Requirement – yêu cầu nghiệp vụ; gồm Functional, Non-functional, Business Rule, Business Constraint, Business Goal.</t>
  </si>
  <si>
    <t>Use Case – kịch bản tương tác giữa tác nhân và hệ thống nhằm đạt một mục tiêu.</t>
  </si>
  <si>
    <t>MoSCoW</t>
  </si>
  <si>
    <t>Cách phân ưu tiên: Must (bắt buộc), Should (nên có), Could (có thể có), Won't (không làm lần này).</t>
  </si>
  <si>
    <t>Chu kỳ phát triển cố định (2 tuần) có mục tiêu và sản phẩm bàn giao rõ ràng.</t>
  </si>
  <si>
    <t>Cowork / Người giao</t>
  </si>
  <si>
    <t>Cá nhân đã xác minh nhận giao hàng cho người khác thông qua nền tảng.</t>
  </si>
  <si>
    <t>Đơn (Order)</t>
  </si>
  <si>
    <t>Yêu cầu giao một kiện hàng từ điểm lấy đến điểm giao, có mã vận đơn duy nhất.</t>
  </si>
  <si>
    <t>Chào giá (Offer/Bid)</t>
  </si>
  <si>
    <t>Mức giá và điều kiện người giao đề xuất cho một đơn.</t>
  </si>
  <si>
    <t>Chuyến đi (Trip)</t>
  </si>
  <si>
    <t>Hành trình người giao đăng trước, dùng để ghép đơn tiện đường.</t>
  </si>
  <si>
    <t>Ký quỹ (Escrow)</t>
  </si>
  <si>
    <t>Giữ tiền của người gửi trong sổ cái cho đến khi đơn hoàn tất hoặc hoàn tiền.</t>
  </si>
  <si>
    <t>Giải ngân (Release)</t>
  </si>
  <si>
    <t>Chuyển tiền ký quỹ cho người giao (sau khi trừ hoa hồng).</t>
  </si>
  <si>
    <t>Ví (Wallet)</t>
  </si>
  <si>
    <t>Số dư nội bộ của người dùng, gồm khả dụng, đang ký quỹ và chờ rút.</t>
  </si>
  <si>
    <t>Sổ cái (Ledger)</t>
  </si>
  <si>
    <t>Bộ bút toán kép ghi nhận mọi biến động tiền, không sửa, không xóa.</t>
  </si>
  <si>
    <t>Mỗi giao dịch ghi đồng thời ghi nợ và ghi có với tổng bằng nhau.</t>
  </si>
  <si>
    <t>Tài khoản trong sổ cái dùng bồi thường cho đơn có bảo hiểm.</t>
  </si>
  <si>
    <t>Hoa hồng</t>
  </si>
  <si>
    <t>Phần phí nền tảng thu từ người giao, tính trên phí giao.</t>
  </si>
  <si>
    <t>Hạng thành viên</t>
  </si>
  <si>
    <t>Tân binh, Đồng, Bạc, Vàng, Kim cương – xác định bởi điểm uy tín và số đơn.</t>
  </si>
  <si>
    <t>Điểm uy tín</t>
  </si>
  <si>
    <t>Điểm 0–100 phản ánh độ tin cậy của người giao.</t>
  </si>
  <si>
    <t>Know Your Customer – xác minh danh tính người dùng.</t>
  </si>
  <si>
    <t>CCCD</t>
  </si>
  <si>
    <t>Căn cước công dân.</t>
  </si>
  <si>
    <t>OTP</t>
  </si>
  <si>
    <t>One-Time Password – mật khẩu dùng một lần.</t>
  </si>
  <si>
    <t>QR bàn giao</t>
  </si>
  <si>
    <t>Mã QR có chữ ký và hạn ngắn, dùng xác nhận lấy hàng/bàn giao.</t>
  </si>
  <si>
    <t>ETA</t>
  </si>
  <si>
    <t>Estimated Time of Arrival – thời gian đến dự kiến.</t>
  </si>
  <si>
    <t>VNPay Sandbox</t>
  </si>
  <si>
    <t>Môi trường thử nghiệm thanh toán của VNPay, không phát sinh tiền thật.</t>
  </si>
  <si>
    <t>IPN</t>
  </si>
  <si>
    <t>Instant Payment Notification – thông báo kết quả thanh toán VNPay gửi về máy chủ của merchant.</t>
  </si>
  <si>
    <t>Return URL</t>
  </si>
  <si>
    <t>Địa chỉ VNPay chuyển người dùng quay lại sau khi thanh toán; chỉ dùng hiển thị.</t>
  </si>
  <si>
    <t>HMAC-SHA512</t>
  </si>
  <si>
    <t>Thuật toán chữ ký dùng xác thực dữ liệu giao tiếp với VNPay.</t>
  </si>
  <si>
    <t>Pay-in / Pay-out</t>
  </si>
  <si>
    <t>Thu tiền vào hệ thống / chi tiền ra cho người dùng.</t>
  </si>
  <si>
    <t>PayoutProvider</t>
  </si>
  <si>
    <t>Giao diện trừu tượng cho việc chi trả; có thể là Mock, thủ công hoặc nhà cung cấp thật.</t>
  </si>
  <si>
    <t>Maker–checker</t>
  </si>
  <si>
    <t>Nguyên tắc hai người: một người tạo/duyệt cấp 1, người khác duyệt cấp 2.</t>
  </si>
  <si>
    <t>Idempotency</t>
  </si>
  <si>
    <t>Tính chất xử lý lặp lại cùng yêu cầu chỉ cho một kết quả.</t>
  </si>
  <si>
    <t>SPA</t>
  </si>
  <si>
    <t>Single Page Application – ứng dụng một trang xây bằng ReactJS.</t>
  </si>
  <si>
    <t>REST / OpenAPI</t>
  </si>
  <si>
    <t>Phong cách thiết kế API qua HTTP / chuẩn mô tả API (Swagger).</t>
  </si>
  <si>
    <t>JWT</t>
  </si>
  <si>
    <t>JSON Web Token – token xác thực mang thông tin phiên.</t>
  </si>
  <si>
    <t>RBAC</t>
  </si>
  <si>
    <t>Role-Based Access Control – phân quyền theo vai trò.</t>
  </si>
  <si>
    <t>WebSocket / STOMP</t>
  </si>
  <si>
    <t>Kênh hai chiều thời gian thực / giao thức nhắn tin trên WebSocket.</t>
  </si>
  <si>
    <t>TTL</t>
  </si>
  <si>
    <t>Time To Live – thời gian tồn tại của dữ liệu trước khi bị xóa tự động.</t>
  </si>
  <si>
    <t>Geocoding</t>
  </si>
  <si>
    <t>Chuyển địa chỉ văn bản thành tọa độ và ngược lại.</t>
  </si>
  <si>
    <t>Modular monolith</t>
  </si>
  <si>
    <t>Kiến trúc một khối triển khai nhưng chia module độc lập rõ ràng.</t>
  </si>
  <si>
    <t>ADR</t>
  </si>
  <si>
    <t>Architecture Decision Record – ghi chép quyết định kiến trúc.</t>
  </si>
  <si>
    <t>DoD</t>
  </si>
  <si>
    <t>Definition of Done – tiêu chí hoàn thành.</t>
  </si>
  <si>
    <t>SIT / UAT</t>
  </si>
  <si>
    <t>System Integration Test / User Acceptance Test.</t>
  </si>
  <si>
    <t>BOLA/IDOR</t>
  </si>
  <si>
    <t>Lỗ hổng truy cập đối tượng không kiểm quyền sở hữu.</t>
  </si>
  <si>
    <t>CI/CD</t>
  </si>
  <si>
    <t>Tích hợp liên tục / triển khai liên tục.</t>
  </si>
  <si>
    <t>Flyway</t>
  </si>
  <si>
    <t>Công cụ quản lý migration CSDL.</t>
  </si>
  <si>
    <t>Mock</t>
  </si>
  <si>
    <t>Triển khai giả lập dùng khi phát triển/kiểm thử.</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</si>
</sst>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7]&quot;Backlog&quot;;0"/>
    <numFmt numFmtId="165" formatCode="dd/mm/yyyy"/>
    <numFmt numFmtId="166" formatCode="0.0"/>
    <numFmt numFmtId="167" formatCode="&quot;Sprint &quot;0"/>
    <numFmt numFmtId="168" formatCode="d/m/yyyy"/>
    <numFmt numFmtId="169" formatCode="[=7]&quot;Backlog&quot;;&quot;Sprint &quot;0"/>
    <numFmt numFmtId="170" formatCode="\T0"/>
  </numFmts>
  <fonts count="22">
    <font>
      <sz val="11.0"/>
      <color theme="1"/>
      <name val="Calibri"/>
      <scheme val="minor"/>
    </font>
    <font>
      <b/>
      <sz val="16.0"/>
      <color rgb="FFF37021"/>
      <name val="Arial"/>
    </font>
    <font>
      <i/>
      <sz val="10.0"/>
      <color rgb="FF595959"/>
      <name val="Arial"/>
    </font>
    <font>
      <b/>
      <sz val="11.0"/>
      <color rgb="FF1F4E79"/>
      <name val="Arial"/>
    </font>
    <font>
      <sz val="11.0"/>
      <color theme="1"/>
      <name val="Calibri"/>
    </font>
    <font>
      <b/>
      <sz val="10.0"/>
      <color rgb="FF000000"/>
      <name val="Arial"/>
    </font>
    <font>
      <sz val="10.0"/>
      <color rgb="FF000000"/>
      <name val="Arial"/>
    </font>
    <font>
      <b/>
      <sz val="10.0"/>
      <color rgb="FFFFFFFF"/>
      <name val="Arial"/>
    </font>
    <font>
      <b/>
      <sz val="10.0"/>
      <color rgb="FF1F4E79"/>
      <name val="Arial"/>
    </font>
    <font>
      <u/>
      <sz val="10.0"/>
      <color rgb="FF0563C1"/>
      <name val="Arial"/>
    </font>
    <font/>
    <font>
      <u/>
      <sz val="10.0"/>
      <color rgb="FF0563C1"/>
      <name val="Arial"/>
    </font>
    <font>
      <sz val="10.0"/>
      <color rgb="FF0563C1"/>
      <name val="Arial"/>
    </font>
    <font>
      <color theme="1"/>
      <name val="Calibri"/>
      <scheme val="minor"/>
    </font>
    <font>
      <i/>
      <sz val="9.0"/>
      <color rgb="FF595959"/>
      <name val="Arial"/>
    </font>
    <font>
      <sz val="10.0"/>
      <color rgb="FF0000FF"/>
      <name val="Arial"/>
    </font>
    <font>
      <sz val="10.0"/>
      <color theme="1"/>
      <name val="Arial"/>
    </font>
    <font>
      <b/>
      <sz val="10.0"/>
      <color rgb="FF0000FF"/>
      <name val="Arial"/>
    </font>
    <font>
      <sz val="10.0"/>
      <color theme="1"/>
      <name val="Consolas"/>
    </font>
    <font>
      <u/>
      <sz val="10.0"/>
      <color rgb="FF0563C1"/>
      <name val="Arial"/>
    </font>
    <font>
      <b/>
      <sz val="10.0"/>
      <color theme="1"/>
      <name val="Arial"/>
    </font>
    <font>
      <b/>
      <sz val="11.0"/>
      <color rgb="FFFFFFFF"/>
      <name val="Calibri"/>
      <scheme val="minor"/>
    </font>
  </fonts>
  <fills count="14">
    <fill>
      <patternFill patternType="none"/>
    </fill>
    <fill>
      <patternFill patternType="lightGray"/>
    </fill>
    <fill>
      <patternFill patternType="solid">
        <fgColor rgb="FFDDEBF7"/>
        <bgColor rgb="FFDDEBF7"/>
      </patternFill>
    </fill>
    <fill>
      <patternFill patternType="solid">
        <fgColor rgb="FF1F4E79"/>
        <bgColor rgb="FF1F4E79"/>
      </patternFill>
    </fill>
    <fill>
      <patternFill patternType="solid">
        <fgColor rgb="FFE2EFDA"/>
        <bgColor rgb="FFE2EFDA"/>
      </patternFill>
    </fill>
    <fill>
      <patternFill patternType="solid">
        <fgColor rgb="FFF2F2F2"/>
        <bgColor rgb="FFF2F2F2"/>
      </patternFill>
    </fill>
    <fill>
      <patternFill patternType="solid">
        <fgColor rgb="FFFFF2CC"/>
        <bgColor rgb="FFFFF2CC"/>
      </patternFill>
    </fill>
    <fill>
      <patternFill patternType="solid">
        <fgColor rgb="FFFCE4D6"/>
        <bgColor rgb="FFFCE4D6"/>
      </patternFill>
    </fill>
    <fill>
      <patternFill patternType="solid">
        <fgColor rgb="FFE4DFEC"/>
        <bgColor rgb="FFE4DFEC"/>
      </patternFill>
    </fill>
    <fill>
      <patternFill patternType="solid">
        <fgColor rgb="FFFFF9E5"/>
        <bgColor rgb="FFFFF9E5"/>
      </patternFill>
    </fill>
    <fill>
      <patternFill patternType="solid">
        <fgColor rgb="FFF8CBAD"/>
        <bgColor rgb="FFF8CBAD"/>
      </patternFill>
    </fill>
    <fill>
      <patternFill patternType="solid">
        <fgColor rgb="FFFFFFFF"/>
        <bgColor rgb="FFFFFFFF"/>
      </patternFill>
    </fill>
    <fill>
      <patternFill patternType="solid">
        <fgColor rgb="FF267F3F"/>
        <bgColor rgb="FF267F3F"/>
      </patternFill>
    </fill>
    <fill>
      <patternFill patternType="solid">
        <fgColor rgb="FF535FC1"/>
        <bgColor rgb="FF535FC1"/>
      </patternFill>
    </fill>
  </fills>
  <borders count="6">
    <border/>
    <border>
      <left/>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13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top" wrapText="0"/>
    </xf>
    <xf borderId="1" fillId="2" fontId="3" numFmtId="0" xfId="0" applyAlignment="1" applyBorder="1" applyFill="1" applyFont="1">
      <alignment shrinkToFit="0" vertical="center" wrapText="0"/>
    </xf>
    <xf borderId="1" fillId="2" fontId="4" numFmtId="0" xfId="0" applyAlignment="1" applyBorder="1" applyFill="1" applyFont="1">
      <alignment shrinkToFit="0" vertical="bottom" wrapText="0"/>
    </xf>
    <xf borderId="0" fillId="0" fontId="5" numFmtId="0" xfId="0" applyAlignment="1" applyFont="1">
      <alignment shrinkToFit="0" vertical="bottom" wrapText="0"/>
    </xf>
    <xf borderId="0" fillId="0" fontId="6" numFmtId="0" xfId="0" applyAlignment="1" applyFont="1">
      <alignment shrinkToFit="0" vertical="top" wrapText="1"/>
    </xf>
    <xf borderId="0" fillId="0" fontId="6" numFmtId="0" xfId="0" applyAlignment="1" applyFont="1">
      <alignment readingOrder="0" shrinkToFit="0" vertical="top" wrapText="1"/>
    </xf>
    <xf borderId="2" fillId="3" fontId="7" numFmtId="0" xfId="0" applyAlignment="1" applyBorder="1" applyFill="1" applyFont="1">
      <alignment horizontal="center" shrinkToFit="0" vertical="center" wrapText="1"/>
    </xf>
    <xf borderId="2" fillId="0" fontId="6" numFmtId="0" xfId="0" applyAlignment="1" applyBorder="1" applyFont="1">
      <alignment shrinkToFit="0" vertical="top" wrapText="1"/>
    </xf>
    <xf borderId="2" fillId="0" fontId="8" numFmtId="3" xfId="0" applyAlignment="1" applyBorder="1" applyFont="1" applyNumberFormat="1">
      <alignment horizontal="center" shrinkToFit="0" vertical="top" wrapText="1"/>
    </xf>
    <xf borderId="2" fillId="0" fontId="6" numFmtId="0" xfId="0" applyAlignment="1" applyBorder="1" applyFont="1">
      <alignment readingOrder="0" shrinkToFit="0" vertical="top" wrapText="1"/>
    </xf>
    <xf borderId="2" fillId="0" fontId="8" numFmtId="9" xfId="0" applyAlignment="1" applyBorder="1" applyFont="1" applyNumberFormat="1">
      <alignment horizontal="center" shrinkToFit="0" vertical="top" wrapText="1"/>
    </xf>
    <xf borderId="2" fillId="0" fontId="9" numFmtId="0" xfId="0" applyAlignment="1" applyBorder="1" applyFont="1">
      <alignment shrinkToFit="0" vertical="bottom" wrapText="0"/>
    </xf>
    <xf borderId="3" fillId="0" fontId="6" numFmtId="0" xfId="0" applyAlignment="1" applyBorder="1" applyFont="1">
      <alignment shrinkToFit="0" vertical="top" wrapText="1"/>
    </xf>
    <xf borderId="4" fillId="0" fontId="10" numFmtId="0" xfId="0" applyBorder="1" applyFont="1"/>
    <xf borderId="5" fillId="0" fontId="10" numFmtId="0" xfId="0" applyBorder="1" applyFont="1"/>
    <xf borderId="3" fillId="0" fontId="6" numFmtId="0" xfId="0" applyAlignment="1" applyBorder="1" applyFont="1">
      <alignment readingOrder="0" shrinkToFit="0" vertical="top" wrapText="1"/>
    </xf>
    <xf borderId="2" fillId="0" fontId="11" numFmtId="0" xfId="0" applyAlignment="1" applyBorder="1" applyFont="1">
      <alignment readingOrder="0" shrinkToFit="0" vertical="bottom" wrapText="0"/>
    </xf>
    <xf borderId="2" fillId="0" fontId="12" numFmtId="0" xfId="0" applyAlignment="1" applyBorder="1" applyFont="1">
      <alignment readingOrder="0" shrinkToFit="0" vertical="bottom" wrapText="0"/>
    </xf>
    <xf borderId="0" fillId="0" fontId="13" numFmtId="0" xfId="0" applyAlignment="1" applyFont="1">
      <alignment readingOrder="0"/>
    </xf>
    <xf borderId="2" fillId="0" fontId="6" numFmtId="0" xfId="0" applyAlignment="1" applyBorder="1" applyFont="1">
      <alignment horizontal="center" shrinkToFit="0" vertical="top" wrapText="1"/>
    </xf>
    <xf borderId="0" fillId="0" fontId="5" numFmtId="0" xfId="0" applyAlignment="1" applyFont="1">
      <alignment shrinkToFit="0" vertical="top" wrapText="1"/>
    </xf>
    <xf borderId="2" fillId="0" fontId="5" numFmtId="0" xfId="0" applyAlignment="1" applyBorder="1" applyFont="1">
      <alignment shrinkToFit="0" vertical="top" wrapText="1"/>
    </xf>
    <xf borderId="3" fillId="3" fontId="7" numFmtId="0" xfId="0" applyAlignment="1" applyBorder="1" applyFill="1" applyFont="1">
      <alignment horizontal="center" shrinkToFit="0" vertical="center" wrapText="1"/>
    </xf>
    <xf borderId="2" fillId="0" fontId="5" numFmtId="0" xfId="0" applyAlignment="1" applyBorder="1" applyFont="1">
      <alignment horizontal="center" shrinkToFit="0" vertical="top" wrapText="1"/>
    </xf>
    <xf borderId="2" fillId="4" fontId="6" numFmtId="0" xfId="0" applyAlignment="1" applyBorder="1" applyFill="1" applyFont="1">
      <alignment horizontal="center" shrinkToFit="0" vertical="top" wrapText="1"/>
    </xf>
    <xf borderId="2" fillId="5" fontId="6" numFmtId="0" xfId="0" applyAlignment="1" applyBorder="1" applyFill="1" applyFont="1">
      <alignment horizontal="center" shrinkToFit="0" vertical="top" wrapText="1"/>
    </xf>
    <xf borderId="2" fillId="2" fontId="6" numFmtId="0" xfId="0" applyAlignment="1" applyBorder="1" applyFill="1" applyFont="1">
      <alignment horizontal="center" shrinkToFit="0" vertical="top" wrapText="1"/>
    </xf>
    <xf borderId="2" fillId="6" fontId="6" numFmtId="0" xfId="0" applyAlignment="1" applyBorder="1" applyFill="1" applyFont="1">
      <alignment horizontal="center" shrinkToFit="0" vertical="top" wrapText="1"/>
    </xf>
    <xf borderId="0" fillId="0" fontId="14" numFmtId="0" xfId="0" applyAlignment="1" applyFont="1">
      <alignment shrinkToFit="0" vertical="bottom" wrapText="0"/>
    </xf>
    <xf borderId="2" fillId="4" fontId="5" numFmtId="0" xfId="0" applyAlignment="1" applyBorder="1" applyFill="1" applyFont="1">
      <alignment horizontal="center" shrinkToFit="0" vertical="top" wrapText="1"/>
    </xf>
    <xf borderId="2" fillId="4" fontId="6" numFmtId="0" xfId="0" applyAlignment="1" applyBorder="1" applyFill="1" applyFont="1">
      <alignment shrinkToFit="0" vertical="top" wrapText="1"/>
    </xf>
    <xf borderId="2" fillId="2" fontId="5" numFmtId="0" xfId="0" applyAlignment="1" applyBorder="1" applyFill="1" applyFont="1">
      <alignment horizontal="center" shrinkToFit="0" vertical="top" wrapText="1"/>
    </xf>
    <xf borderId="2" fillId="2" fontId="6" numFmtId="0" xfId="0" applyAlignment="1" applyBorder="1" applyFill="1" applyFont="1">
      <alignment shrinkToFit="0" vertical="top" wrapText="1"/>
    </xf>
    <xf borderId="2" fillId="6" fontId="5" numFmtId="0" xfId="0" applyAlignment="1" applyBorder="1" applyFill="1" applyFont="1">
      <alignment horizontal="center" shrinkToFit="0" vertical="top" wrapText="1"/>
    </xf>
    <xf borderId="2" fillId="6" fontId="6" numFmtId="0" xfId="0" applyAlignment="1" applyBorder="1" applyFill="1" applyFont="1">
      <alignment shrinkToFit="0" vertical="top" wrapText="1"/>
    </xf>
    <xf borderId="2" fillId="7" fontId="5" numFmtId="0" xfId="0" applyAlignment="1" applyBorder="1" applyFill="1" applyFont="1">
      <alignment horizontal="center" shrinkToFit="0" vertical="top" wrapText="1"/>
    </xf>
    <xf borderId="2" fillId="7" fontId="6" numFmtId="0" xfId="0" applyAlignment="1" applyBorder="1" applyFill="1" applyFont="1">
      <alignment shrinkToFit="0" vertical="top" wrapText="1"/>
    </xf>
    <xf borderId="2" fillId="8" fontId="5" numFmtId="0" xfId="0" applyAlignment="1" applyBorder="1" applyFill="1" applyFont="1">
      <alignment horizontal="center" shrinkToFit="0" vertical="top" wrapText="1"/>
    </xf>
    <xf borderId="2" fillId="8" fontId="6" numFmtId="0" xfId="0" applyAlignment="1" applyBorder="1" applyFill="1" applyFont="1">
      <alignment shrinkToFit="0" vertical="top" wrapText="1"/>
    </xf>
    <xf borderId="2" fillId="3" fontId="7" numFmtId="0" xfId="0" applyAlignment="1" applyBorder="1" applyFill="1" applyFont="1">
      <alignment horizontal="center" readingOrder="0" shrinkToFit="0" vertical="center" wrapText="1"/>
    </xf>
    <xf borderId="2" fillId="0" fontId="15" numFmtId="0" xfId="0" applyAlignment="1" applyBorder="1" applyFont="1">
      <alignment horizontal="center" readingOrder="0" shrinkToFit="0" vertical="top" wrapText="1"/>
    </xf>
    <xf borderId="2" fillId="0" fontId="6" numFmtId="164" xfId="0" applyAlignment="1" applyBorder="1" applyFont="1" applyNumberFormat="1">
      <alignment horizontal="center" readingOrder="0" shrinkToFit="0" vertical="top" wrapText="1"/>
    </xf>
    <xf borderId="2" fillId="0" fontId="16" numFmtId="165" xfId="0" applyAlignment="1" applyBorder="1" applyFont="1" applyNumberFormat="1">
      <alignment horizontal="center" vertical="top"/>
    </xf>
    <xf borderId="2" fillId="0" fontId="15" numFmtId="0" xfId="0" applyAlignment="1" applyBorder="1" applyFont="1">
      <alignment horizontal="center" shrinkToFit="0" vertical="top" wrapText="1"/>
    </xf>
    <xf borderId="0" fillId="0" fontId="14" numFmtId="0" xfId="0" applyAlignment="1" applyFont="1">
      <alignment readingOrder="0" shrinkToFit="0" vertical="bottom" wrapText="0"/>
    </xf>
    <xf borderId="2" fillId="5" fontId="5" numFmtId="0" xfId="0" applyAlignment="1" applyBorder="1" applyFill="1" applyFont="1">
      <alignment horizontal="center" shrinkToFit="0" vertical="top" wrapText="1"/>
    </xf>
    <xf borderId="2" fillId="5" fontId="5" numFmtId="0" xfId="0" applyAlignment="1" applyBorder="1" applyFill="1" applyFont="1">
      <alignment shrinkToFit="0" vertical="top" wrapText="1"/>
    </xf>
    <xf borderId="2" fillId="9" fontId="17" numFmtId="1" xfId="0" applyAlignment="1" applyBorder="1" applyFill="1" applyFont="1" applyNumberFormat="1">
      <alignment horizontal="right" shrinkToFit="0" vertical="top" wrapText="1"/>
    </xf>
    <xf borderId="2" fillId="9" fontId="17" numFmtId="3" xfId="0" applyAlignment="1" applyBorder="1" applyFill="1" applyFont="1" applyNumberFormat="1">
      <alignment horizontal="right" shrinkToFit="0" vertical="top" wrapText="1"/>
    </xf>
    <xf borderId="2" fillId="9" fontId="17" numFmtId="49" xfId="0" applyAlignment="1" applyBorder="1" applyFill="1" applyFont="1" applyNumberFormat="1">
      <alignment horizontal="left" shrinkToFit="0" vertical="top" wrapText="1"/>
    </xf>
    <xf borderId="2" fillId="9" fontId="17" numFmtId="166" xfId="0" applyAlignment="1" applyBorder="1" applyFill="1" applyFont="1" applyNumberFormat="1">
      <alignment horizontal="right" shrinkToFit="0" vertical="top" wrapText="1"/>
    </xf>
    <xf borderId="2" fillId="9" fontId="17" numFmtId="9" xfId="0" applyAlignment="1" applyBorder="1" applyFill="1" applyFont="1" applyNumberFormat="1">
      <alignment horizontal="right" shrinkToFit="0" vertical="top" wrapText="1"/>
    </xf>
    <xf borderId="2" fillId="9" fontId="15" numFmtId="166" xfId="0" applyAlignment="1" applyBorder="1" applyFill="1" applyFont="1" applyNumberFormat="1">
      <alignment shrinkToFit="0" vertical="bottom" wrapText="0"/>
    </xf>
    <xf borderId="2" fillId="9" fontId="15" numFmtId="1" xfId="0" applyAlignment="1" applyBorder="1" applyFill="1" applyFont="1" applyNumberFormat="1">
      <alignment shrinkToFit="0" vertical="bottom" wrapText="0"/>
    </xf>
    <xf borderId="2" fillId="9" fontId="15" numFmtId="0" xfId="0" applyAlignment="1" applyBorder="1" applyFill="1" applyFont="1">
      <alignment shrinkToFit="0" vertical="bottom" wrapText="0"/>
    </xf>
    <xf borderId="2" fillId="9" fontId="15" numFmtId="3" xfId="0" applyAlignment="1" applyBorder="1" applyFill="1" applyFont="1" applyNumberFormat="1">
      <alignment shrinkToFit="0" vertical="bottom" wrapText="0"/>
    </xf>
    <xf borderId="2" fillId="9" fontId="15" numFmtId="9" xfId="0" applyAlignment="1" applyBorder="1" applyFill="1" applyFont="1" applyNumberFormat="1">
      <alignment shrinkToFit="0" vertical="bottom" wrapText="0"/>
    </xf>
    <xf borderId="0" fillId="0" fontId="6" numFmtId="0" xfId="0" applyAlignment="1" applyFont="1">
      <alignment shrinkToFit="0" vertical="bottom" wrapText="0"/>
    </xf>
    <xf borderId="2" fillId="0" fontId="6" numFmtId="0" xfId="0" applyAlignment="1" applyBorder="1" applyFont="1">
      <alignment horizontal="right" shrinkToFit="0" vertical="bottom" wrapText="0"/>
    </xf>
    <xf borderId="2" fillId="0" fontId="6" numFmtId="3" xfId="0" applyAlignment="1" applyBorder="1" applyFont="1" applyNumberFormat="1">
      <alignment horizontal="right" shrinkToFit="0" vertical="bottom" wrapText="0"/>
    </xf>
    <xf borderId="2" fillId="0" fontId="6" numFmtId="166" xfId="0" applyAlignment="1" applyBorder="1" applyFont="1" applyNumberFormat="1">
      <alignment horizontal="right" shrinkToFit="0" vertical="bottom" wrapText="0"/>
    </xf>
    <xf borderId="1" fillId="4" fontId="5" numFmtId="0" xfId="0" applyAlignment="1" applyBorder="1" applyFill="1" applyFont="1">
      <alignment shrinkToFit="0" vertical="bottom" wrapText="0"/>
    </xf>
    <xf borderId="2" fillId="4" fontId="5" numFmtId="3" xfId="0" applyAlignment="1" applyBorder="1" applyFill="1" applyFont="1" applyNumberFormat="1">
      <alignment horizontal="right" shrinkToFit="0" vertical="bottom" wrapText="0"/>
    </xf>
    <xf borderId="2" fillId="0" fontId="6" numFmtId="9" xfId="0" applyAlignment="1" applyBorder="1" applyFont="1" applyNumberFormat="1">
      <alignment horizontal="right" shrinkToFit="0" vertical="bottom" wrapText="0"/>
    </xf>
    <xf borderId="2" fillId="0" fontId="5" numFmtId="0" xfId="0" applyAlignment="1" applyBorder="1" applyFont="1">
      <alignment horizontal="right" shrinkToFit="0" vertical="bottom" wrapText="0"/>
    </xf>
    <xf borderId="2" fillId="5" fontId="5" numFmtId="0" xfId="0" applyAlignment="1" applyBorder="1" applyFill="1" applyFont="1">
      <alignment shrinkToFit="0" vertical="bottom" wrapText="0"/>
    </xf>
    <xf borderId="2" fillId="0" fontId="4" numFmtId="0" xfId="0" applyAlignment="1" applyBorder="1" applyFont="1">
      <alignment shrinkToFit="0" vertical="bottom" wrapText="0"/>
    </xf>
    <xf borderId="2" fillId="0" fontId="4" numFmtId="9" xfId="0" applyAlignment="1" applyBorder="1" applyFont="1" applyNumberFormat="1">
      <alignment horizontal="right" shrinkToFit="0" vertical="bottom" wrapText="0"/>
    </xf>
    <xf borderId="2" fillId="0" fontId="5" numFmtId="0" xfId="0" applyAlignment="1" applyBorder="1" applyFont="1">
      <alignment shrinkToFit="0" vertical="bottom" wrapText="0"/>
    </xf>
    <xf borderId="2" fillId="0" fontId="6" numFmtId="0" xfId="0" applyAlignment="1" applyBorder="1" applyFont="1">
      <alignment shrinkToFit="0" vertical="bottom" wrapText="0"/>
    </xf>
    <xf borderId="2" fillId="0" fontId="4" numFmtId="3" xfId="0" applyAlignment="1" applyBorder="1" applyFont="1" applyNumberFormat="1">
      <alignment shrinkToFit="0" vertical="bottom" wrapText="0"/>
    </xf>
    <xf borderId="2" fillId="0" fontId="4" numFmtId="0" xfId="0" applyAlignment="1" applyBorder="1" applyFont="1">
      <alignment horizontal="center" shrinkToFit="0" vertical="bottom" wrapText="0"/>
    </xf>
    <xf borderId="2" fillId="0" fontId="18" numFmtId="0" xfId="0" applyAlignment="1" applyBorder="1" applyFont="1">
      <alignment shrinkToFit="0" vertical="top" wrapText="1"/>
    </xf>
    <xf borderId="2" fillId="7" fontId="6" numFmtId="0" xfId="0" applyAlignment="1" applyBorder="1" applyFill="1" applyFont="1">
      <alignment horizontal="center" shrinkToFit="0" vertical="top" wrapText="1"/>
    </xf>
    <xf borderId="2" fillId="8" fontId="6" numFmtId="0" xfId="0" applyAlignment="1" applyBorder="1" applyFill="1" applyFont="1">
      <alignment horizontal="center" shrinkToFit="0" vertical="top" wrapText="1"/>
    </xf>
    <xf borderId="2" fillId="4" fontId="5" numFmtId="0" xfId="0" applyAlignment="1" applyBorder="1" applyFill="1" applyFont="1">
      <alignment shrinkToFit="0" vertical="top" wrapText="1"/>
    </xf>
    <xf borderId="3" fillId="4" fontId="6" numFmtId="0" xfId="0" applyAlignment="1" applyBorder="1" applyFill="1" applyFont="1">
      <alignment shrinkToFit="0" vertical="top" wrapText="1"/>
    </xf>
    <xf borderId="2" fillId="6" fontId="5" numFmtId="0" xfId="0" applyAlignment="1" applyBorder="1" applyFill="1" applyFont="1">
      <alignment shrinkToFit="0" vertical="top" wrapText="1"/>
    </xf>
    <xf borderId="3" fillId="6" fontId="6" numFmtId="0" xfId="0" applyAlignment="1" applyBorder="1" applyFill="1" applyFont="1">
      <alignment shrinkToFit="0" vertical="top" wrapText="1"/>
    </xf>
    <xf borderId="2" fillId="7" fontId="5" numFmtId="0" xfId="0" applyAlignment="1" applyBorder="1" applyFill="1" applyFont="1">
      <alignment shrinkToFit="0" vertical="top" wrapText="1"/>
    </xf>
    <xf borderId="3" fillId="7" fontId="6" numFmtId="0" xfId="0" applyAlignment="1" applyBorder="1" applyFill="1" applyFont="1">
      <alignment shrinkToFit="0" vertical="top" wrapText="1"/>
    </xf>
    <xf borderId="2" fillId="2" fontId="5" numFmtId="0" xfId="0" applyAlignment="1" applyBorder="1" applyFill="1" applyFont="1">
      <alignment shrinkToFit="0" vertical="top" wrapText="1"/>
    </xf>
    <xf borderId="3" fillId="2" fontId="6" numFmtId="0" xfId="0" applyAlignment="1" applyBorder="1" applyFill="1" applyFont="1">
      <alignment shrinkToFit="0" vertical="top" wrapText="1"/>
    </xf>
    <xf borderId="2" fillId="10" fontId="6" numFmtId="0" xfId="0" applyAlignment="1" applyBorder="1" applyFill="1" applyFont="1">
      <alignment horizontal="center" shrinkToFit="0" vertical="top" wrapText="1"/>
    </xf>
    <xf borderId="2" fillId="5" fontId="6" numFmtId="0" xfId="0" applyAlignment="1" applyBorder="1" applyFill="1" applyFont="1">
      <alignment shrinkToFit="0" vertical="top" wrapText="1"/>
    </xf>
    <xf borderId="0" fillId="0" fontId="19" numFmtId="0" xfId="0" applyAlignment="1" applyFont="1">
      <alignment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top" wrapText="0"/>
    </xf>
    <xf borderId="3" fillId="0" fontId="5" numFmtId="0" xfId="0" applyAlignment="1" applyBorder="1" applyFont="1">
      <alignment shrinkToFit="0" vertical="top" wrapText="1"/>
    </xf>
    <xf borderId="2" fillId="9" fontId="15" numFmtId="1" xfId="0" applyAlignment="1" applyBorder="1" applyFill="1" applyFont="1" applyNumberFormat="1">
      <alignment readingOrder="0" shrinkToFit="0" vertical="bottom" wrapText="0"/>
    </xf>
    <xf borderId="2" fillId="0" fontId="5" numFmtId="1" xfId="0" applyAlignment="1" applyBorder="1" applyFont="1" applyNumberFormat="1">
      <alignment shrinkToFit="0" vertical="bottom" wrapText="0"/>
    </xf>
    <xf borderId="2" fillId="0" fontId="5" numFmtId="3" xfId="0" applyAlignment="1" applyBorder="1" applyFont="1" applyNumberFormat="1">
      <alignment shrinkToFit="0" vertical="bottom" wrapText="0"/>
    </xf>
    <xf borderId="1" fillId="2" fontId="3" numFmtId="0" xfId="0" applyAlignment="1" applyBorder="1" applyFill="1" applyFont="1">
      <alignment readingOrder="0" shrinkToFit="0" vertical="center" wrapText="0"/>
    </xf>
    <xf borderId="2" fillId="0" fontId="5" numFmtId="0" xfId="0" applyAlignment="1" applyBorder="1" applyFont="1">
      <alignment horizontal="center" readingOrder="0" shrinkToFit="0" vertical="center" wrapText="1"/>
    </xf>
    <xf borderId="2" fillId="0" fontId="6" numFmtId="3" xfId="0" applyAlignment="1" applyBorder="1" applyFont="1" applyNumberFormat="1">
      <alignment horizontal="center" shrinkToFit="0" vertical="bottom" wrapText="0"/>
    </xf>
    <xf borderId="2" fillId="0" fontId="6" numFmtId="3" xfId="0" applyAlignment="1" applyBorder="1" applyFont="1" applyNumberFormat="1">
      <alignment horizontal="center" readingOrder="0" shrinkToFit="0" vertical="bottom" wrapText="0"/>
    </xf>
    <xf borderId="2" fillId="0" fontId="6" numFmtId="9" xfId="0" applyAlignment="1" applyBorder="1" applyFont="1" applyNumberFormat="1">
      <alignment horizontal="center" shrinkToFit="0" vertical="bottom" wrapText="0"/>
    </xf>
    <xf borderId="2" fillId="5" fontId="5" numFmtId="3" xfId="0" applyAlignment="1" applyBorder="1" applyFill="1" applyFont="1" applyNumberFormat="1">
      <alignment horizontal="center" shrinkToFit="0" vertical="bottom" wrapText="0"/>
    </xf>
    <xf borderId="2" fillId="5" fontId="5" numFmtId="9" xfId="0" applyAlignment="1" applyBorder="1" applyFill="1" applyFont="1" applyNumberFormat="1">
      <alignment horizontal="center" shrinkToFit="0" vertical="bottom" wrapText="0"/>
    </xf>
    <xf borderId="2" fillId="3" fontId="7" numFmtId="167" xfId="0" applyAlignment="1" applyBorder="1" applyFill="1" applyFont="1" applyNumberFormat="1">
      <alignment horizontal="center" readingOrder="0" shrinkToFit="0" vertical="center" wrapText="1"/>
    </xf>
    <xf borderId="0" fillId="3" fontId="7" numFmtId="0" xfId="0" applyAlignment="1" applyFill="1" applyFont="1">
      <alignment horizontal="center" shrinkToFit="0" vertical="center" wrapText="1"/>
    </xf>
    <xf borderId="2" fillId="0" fontId="5" numFmtId="0" xfId="0" applyAlignment="1" applyBorder="1" applyFont="1">
      <alignment horizontal="center" shrinkToFit="0" vertical="center" wrapText="1"/>
    </xf>
    <xf borderId="2" fillId="11" fontId="16" numFmtId="3" xfId="0" applyAlignment="1" applyBorder="1" applyFill="1" applyFont="1" applyNumberFormat="1">
      <alignment horizontal="center" shrinkToFit="0" vertical="bottom" wrapText="0"/>
    </xf>
    <xf borderId="0" fillId="0" fontId="6" numFmtId="3" xfId="0" applyAlignment="1" applyFont="1" applyNumberFormat="1">
      <alignment horizontal="center" shrinkToFit="0" vertical="bottom" wrapText="0"/>
    </xf>
    <xf borderId="0" fillId="0" fontId="5" numFmtId="0" xfId="0" applyAlignment="1" applyFont="1">
      <alignment readingOrder="0" shrinkToFit="0" vertical="bottom" wrapText="0"/>
    </xf>
    <xf borderId="2" fillId="5" fontId="20" numFmtId="3" xfId="0" applyAlignment="1" applyBorder="1" applyFill="1" applyFont="1" applyNumberFormat="1">
      <alignment horizontal="center" shrinkToFit="0" vertical="bottom" wrapText="0"/>
    </xf>
    <xf borderId="0" fillId="5" fontId="5" numFmtId="3" xfId="0" applyAlignment="1" applyFill="1" applyFont="1" applyNumberFormat="1">
      <alignment horizontal="center" shrinkToFit="0" vertical="bottom" wrapText="0"/>
    </xf>
    <xf borderId="0" fillId="2" fontId="4" numFmtId="0" xfId="0" applyAlignment="1" applyFill="1" applyFont="1">
      <alignment shrinkToFit="0" vertical="bottom" wrapText="0"/>
    </xf>
    <xf borderId="2" fillId="11" fontId="16" numFmtId="9" xfId="0" applyAlignment="1" applyBorder="1" applyFill="1" applyFont="1" applyNumberFormat="1">
      <alignment horizontal="center" shrinkToFit="0" vertical="bottom" wrapText="0"/>
    </xf>
    <xf borderId="0" fillId="0" fontId="6" numFmtId="9" xfId="0" applyAlignment="1" applyFont="1" applyNumberFormat="1">
      <alignment horizontal="center" shrinkToFit="0" vertical="bottom" wrapText="0"/>
    </xf>
    <xf borderId="2" fillId="5" fontId="20" numFmtId="9" xfId="0" applyAlignment="1" applyBorder="1" applyFill="1" applyFont="1" applyNumberFormat="1">
      <alignment horizontal="center" shrinkToFit="0" vertical="bottom" wrapText="0"/>
    </xf>
    <xf borderId="0" fillId="5" fontId="5" numFmtId="9" xfId="0" applyAlignment="1" applyFill="1" applyFont="1" applyNumberFormat="1">
      <alignment horizontal="center" shrinkToFit="0" vertical="bottom" wrapText="0"/>
    </xf>
    <xf borderId="3" fillId="3" fontId="7" numFmtId="0" xfId="0" applyAlignment="1" applyBorder="1" applyFill="1" applyFont="1">
      <alignment horizontal="center" readingOrder="0" shrinkToFit="0" vertical="center" wrapText="1"/>
    </xf>
    <xf borderId="2" fillId="0" fontId="5" numFmtId="167" xfId="0" applyAlignment="1" applyBorder="1" applyFont="1" applyNumberFormat="1">
      <alignment horizontal="center" readingOrder="0" shrinkToFit="0" vertical="center" wrapText="1"/>
    </xf>
    <xf borderId="3" fillId="0" fontId="5" numFmtId="0" xfId="0" applyAlignment="1" applyBorder="1" applyFont="1">
      <alignment readingOrder="0" shrinkToFit="0" vertical="top" wrapText="1"/>
    </xf>
    <xf borderId="2" fillId="0" fontId="6" numFmtId="3" xfId="0" applyAlignment="1" applyBorder="1" applyFont="1" applyNumberFormat="1">
      <alignment horizontal="center" shrinkToFit="0" vertical="top" wrapText="0"/>
    </xf>
    <xf borderId="2" fillId="0" fontId="6" numFmtId="168" xfId="0" applyAlignment="1" applyBorder="1" applyFont="1" applyNumberFormat="1">
      <alignment readingOrder="0" shrinkToFit="0" vertical="top" wrapText="1"/>
    </xf>
    <xf borderId="2" fillId="0" fontId="6" numFmtId="3" xfId="0" applyAlignment="1" applyBorder="1" applyFont="1" applyNumberFormat="1">
      <alignment horizontal="center" readingOrder="0" shrinkToFit="0" vertical="top" wrapText="0"/>
    </xf>
    <xf borderId="2" fillId="0" fontId="5" numFmtId="169" xfId="0" applyAlignment="1" applyBorder="1" applyFont="1" applyNumberFormat="1">
      <alignment horizontal="center" readingOrder="0" shrinkToFit="0" vertical="center" wrapText="1"/>
    </xf>
    <xf borderId="2" fillId="3" fontId="7" numFmtId="170" xfId="0" applyAlignment="1" applyBorder="1" applyFill="1" applyFont="1" applyNumberFormat="1">
      <alignment horizontal="center" readingOrder="0" shrinkToFit="0" vertical="center" wrapText="1"/>
    </xf>
    <xf borderId="2" fillId="12" fontId="7" numFmtId="170" xfId="0" applyAlignment="1" applyBorder="1" applyFill="1" applyFont="1" applyNumberFormat="1">
      <alignment horizontal="center" readingOrder="0" shrinkToFit="0" vertical="center" wrapText="1"/>
    </xf>
    <xf borderId="0" fillId="3" fontId="7" numFmtId="170" xfId="0" applyAlignment="1" applyFill="1" applyFont="1" applyNumberFormat="1">
      <alignment horizontal="center" shrinkToFit="0" vertical="center" wrapText="1"/>
    </xf>
    <xf borderId="2" fillId="0" fontId="6" numFmtId="0" xfId="0" applyAlignment="1" applyBorder="1" applyFont="1">
      <alignment horizontal="center" shrinkToFit="0" vertical="bottom" wrapText="0"/>
    </xf>
    <xf borderId="0" fillId="0" fontId="4" numFmtId="0" xfId="0" applyAlignment="1" applyFont="1">
      <alignment shrinkToFit="0" vertical="bottom" wrapText="0"/>
    </xf>
    <xf borderId="0" fillId="0" fontId="13" numFmtId="0" xfId="0" applyAlignment="1" applyFont="1">
      <alignment horizontal="left" readingOrder="0" shrinkToFit="0" vertical="center" wrapText="1"/>
    </xf>
    <xf borderId="0" fillId="0" fontId="13" numFmtId="0" xfId="0" applyAlignment="1" applyFont="1">
      <alignment horizontal="left" readingOrder="0" shrinkToFit="0" vertical="center" wrapText="0"/>
    </xf>
    <xf borderId="0" fillId="0" fontId="13" numFmtId="0" xfId="0" applyAlignment="1" applyFont="1">
      <alignment readingOrder="0" shrinkToFit="0" vertical="center" wrapText="1"/>
    </xf>
    <xf borderId="0" fillId="0" fontId="13" numFmtId="0" xfId="0" applyAlignment="1" applyFont="1">
      <alignment shrinkToFit="0" vertical="center" wrapText="0"/>
    </xf>
    <xf borderId="0" fillId="0" fontId="13" numFmtId="0" xfId="0" applyAlignment="1" applyFont="1">
      <alignment readingOrder="0" shrinkToFit="0" vertical="center" wrapText="0"/>
    </xf>
    <xf borderId="0" fillId="0" fontId="13" numFmtId="0" xfId="0" applyAlignment="1" applyFont="1">
      <alignment shrinkToFit="0" vertical="center" wrapText="1"/>
    </xf>
    <xf borderId="0" fillId="13" fontId="21" numFmtId="0" xfId="0" applyAlignment="1" applyFill="1" applyFont="1">
      <alignment horizontal="center" readingOrder="0" vertical="center"/>
    </xf>
    <xf borderId="0" fillId="0" fontId="13" numFmtId="0" xfId="0" applyAlignment="1" applyFont="1">
      <alignment shrinkToFit="0" vertical="center" wrapText="0"/>
    </xf>
    <xf borderId="0" fillId="0" fontId="13" numFmtId="165" xfId="0" applyAlignment="1" applyFont="1" applyNumberFormat="1">
      <alignment horizontal="center"/>
    </xf>
  </cellXfs>
  <cellStyles count="1">
    <cellStyle xfId="0" name="Normal" builtinId="0"/>
  </cellStyles>
  <dxfs count="9">
    <dxf>
      <font/>
      <fill>
        <patternFill patternType="solid">
          <fgColor rgb="FFF8CBAD"/>
          <bgColor rgb="FFF8CBAD"/>
        </patternFill>
      </fill>
      <border/>
    </dxf>
    <dxf>
      <font/>
      <fill>
        <patternFill patternType="solid">
          <fgColor rgb="FFE2EFDA"/>
          <bgColor rgb="FFE2EFDA"/>
        </patternFill>
      </fill>
      <border/>
    </dxf>
    <dxf>
      <font/>
      <fill>
        <patternFill patternType="solid">
          <fgColor rgb="FFFFF2CC"/>
          <bgColor rgb="FFFFF2CC"/>
        </patternFill>
      </fill>
      <border/>
    </dxf>
    <dxf>
      <font/>
      <fill>
        <patternFill patternType="solid">
          <fgColor rgb="FFF37021"/>
          <bgColor rgb="FFF37021"/>
        </patternFill>
      </fill>
      <border/>
    </dxf>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3">
    <tableStyle count="4" pivot="0" name="14_Chia task(Chức năng)-style">
      <tableStyleElement dxfId="5" type="headerRow"/>
      <tableStyleElement dxfId="6" type="firstRowStripe"/>
      <tableStyleElement dxfId="7" type="secondRowStripe"/>
      <tableStyleElement dxfId="8" size="0" type="wholeTable"/>
    </tableStyle>
    <tableStyle count="4" pivot="0" name="14_Chia task(Chức năng)-style 2">
      <tableStyleElement dxfId="5" type="headerRow"/>
      <tableStyleElement dxfId="6" type="firstRowStripe"/>
      <tableStyleElement dxfId="7" type="secondRowStripe"/>
      <tableStyleElement dxfId="8" size="0" type="wholeTable"/>
    </tableStyle>
    <tableStyle count="4" pivot="0" name="15_Chia task(UC)-style">
      <tableStyleElement dxfId="5"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7" displayName="Chia_task" name="Chia_task" id="1">
  <tableColumns count="5">
    <tableColumn name="Phân hệ / Bounded Context" id="1"/>
    <tableColumn name="Use Case trực thuộc (Ưu tiên Phase 1)" id="2"/>
    <tableColumn name="Tổng UC" id="3"/>
    <tableColumn name="Người phụ trách" id="4"/>
    <tableColumn name="Định hướng nghiệp vụ &amp; Trọng tâm kỹ thuật" id="5"/>
  </tableColumns>
  <tableStyleInfo name="14_Chia task(Chức năng)-style" showColumnStripes="0" showFirstColumn="1" showLastColumn="1" showRowStripes="1"/>
</table>
</file>

<file path=xl/tables/table2.xml><?xml version="1.0" encoding="utf-8"?>
<table xmlns="http://schemas.openxmlformats.org/spreadsheetml/2006/main" ref="Q1:U7" displayName="Bảng_1" name="Bảng_1" id="2">
  <tableColumns count="5">
    <tableColumn name="Phân hệ / Bounded Context" id="1"/>
    <tableColumn name="Use Case trực thuộc (Ưu tiên Phase 1)" id="2"/>
    <tableColumn name="Tổng UC" id="3"/>
    <tableColumn name="Người phụ trách (Fullstack / AI-assisted)" id="4"/>
    <tableColumn name="Định hướng nghiệp vụ &amp; Trọng tâm kỹ thuật" id="5"/>
  </tableColumns>
  <tableStyleInfo name="14_Chia task(Chức năng)-style 2" showColumnStripes="0" showFirstColumn="1" showLastColumn="1" showRowStripes="1"/>
</table>
</file>

<file path=xl/tables/table3.xml><?xml version="1.0" encoding="utf-8"?>
<table xmlns="http://schemas.openxmlformats.org/spreadsheetml/2006/main" ref="D6:G69" displayName="Chia_UC" name="Chia_UC" id="3">
  <tableColumns count="4">
    <tableColumn name="Mã UC" id="1"/>
    <tableColumn name="Tên Use Case" id="2"/>
    <tableColumn name="Dev (Cột E)" id="3"/>
    <tableColumn name="Sprint hoàn thành (Cột F)" id="4"/>
  </tableColumns>
  <tableStyleInfo name="15_Chia task(U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fptpost_dac_ta_br_uc.xlsx" TargetMode="External"/><Relationship Id="rId10" Type="http://schemas.openxmlformats.org/officeDocument/2006/relationships/hyperlink" Target="http://fptpost_dac_ta_br_uc.xlsx" TargetMode="External"/><Relationship Id="rId13" Type="http://schemas.openxmlformats.org/officeDocument/2006/relationships/hyperlink" Target="http://fptpost_dac_ta_br_uc.xlsx" TargetMode="External"/><Relationship Id="rId12" Type="http://schemas.openxmlformats.org/officeDocument/2006/relationships/hyperlink" Target="http://fptpost_dac_ta_br_uc.xlsx" TargetMode="External"/><Relationship Id="rId1" Type="http://schemas.openxmlformats.org/officeDocument/2006/relationships/hyperlink" Target="http://fptpost_dac_ta_br_uc.xlsx" TargetMode="External"/><Relationship Id="rId2" Type="http://schemas.openxmlformats.org/officeDocument/2006/relationships/hyperlink" Target="http://fptpost_dac_ta_br_uc.xlsx" TargetMode="External"/><Relationship Id="rId3" Type="http://schemas.openxmlformats.org/officeDocument/2006/relationships/hyperlink" Target="http://fptpost_dac_ta_br_uc.xlsx" TargetMode="External"/><Relationship Id="rId4" Type="http://schemas.openxmlformats.org/officeDocument/2006/relationships/hyperlink" Target="http://fptpost_dac_ta_br_uc.xlsx" TargetMode="External"/><Relationship Id="rId9" Type="http://schemas.openxmlformats.org/officeDocument/2006/relationships/hyperlink" Target="http://fptpost_dac_ta_br_uc.xlsx" TargetMode="External"/><Relationship Id="rId14" Type="http://schemas.openxmlformats.org/officeDocument/2006/relationships/drawing" Target="../drawings/drawing1.xml"/><Relationship Id="rId5" Type="http://schemas.openxmlformats.org/officeDocument/2006/relationships/hyperlink" Target="http://fptpost_dac_ta_br_uc.xlsx" TargetMode="External"/><Relationship Id="rId6" Type="http://schemas.openxmlformats.org/officeDocument/2006/relationships/hyperlink" Target="http://fptpost_dac_ta_br_uc.xlsx" TargetMode="External"/><Relationship Id="rId7" Type="http://schemas.openxmlformats.org/officeDocument/2006/relationships/hyperlink" Target="http://fptpost_dac_ta_br_uc.xlsx" TargetMode="External"/><Relationship Id="rId8" Type="http://schemas.openxmlformats.org/officeDocument/2006/relationships/hyperlink" Target="http://fptpost_dac_ta_br_uc.xlsx"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sandbox.vnpayment.vn/apis/docs/" TargetMode="External"/><Relationship Id="rId2" Type="http://schemas.openxmlformats.org/officeDocument/2006/relationships/hyperlink" Target="https://sandbox.vnpayment.vn/" TargetMode="External"/><Relationship Id="rId3" Type="http://schemas.openxmlformats.org/officeDocument/2006/relationships/hyperlink" Target="https://payos.vn/"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4" Type="http://schemas.openxmlformats.org/officeDocument/2006/relationships/table" Target="../tables/table1.xml"/><Relationship Id="rId5"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37021"/>
    <pageSetUpPr fitToPage="1"/>
  </sheetPr>
  <sheetViews>
    <sheetView showGridLines="0" workbookViewId="0"/>
  </sheetViews>
  <sheetFormatPr customHeight="1" defaultColWidth="14.43" defaultRowHeight="15.0"/>
  <cols>
    <col customWidth="1" min="1" max="1" width="30.0"/>
    <col customWidth="1" min="2" max="2" width="54.0"/>
    <col customWidth="1" min="3" max="3" width="20.0"/>
    <col customWidth="1" min="4" max="6" width="18.0"/>
    <col customWidth="1" min="7" max="26" width="8.71"/>
  </cols>
  <sheetData>
    <row r="1" ht="25.5" customHeight="1">
      <c r="A1" s="1" t="s">
        <v>0</v>
      </c>
    </row>
    <row r="2">
      <c r="A2" s="2" t="s">
        <v>1</v>
      </c>
    </row>
    <row r="4" ht="21.75" customHeight="1">
      <c r="A4" s="3" t="s">
        <v>2</v>
      </c>
      <c r="B4" s="4"/>
      <c r="C4" s="4"/>
      <c r="D4" s="4"/>
      <c r="E4" s="4"/>
      <c r="F4" s="4"/>
    </row>
    <row r="5" ht="15.0" customHeight="1">
      <c r="A5" s="5" t="s">
        <v>3</v>
      </c>
      <c r="B5" s="6" t="s">
        <v>4</v>
      </c>
    </row>
    <row r="6" ht="15.0" customHeight="1">
      <c r="A6" s="5" t="s">
        <v>5</v>
      </c>
      <c r="B6" s="6" t="s">
        <v>6</v>
      </c>
    </row>
    <row r="7" ht="15.0" customHeight="1">
      <c r="A7" s="5" t="s">
        <v>7</v>
      </c>
      <c r="B7" s="7" t="s">
        <v>8</v>
      </c>
    </row>
    <row r="8" ht="15.0" customHeight="1">
      <c r="A8" s="5" t="s">
        <v>9</v>
      </c>
      <c r="B8" s="6" t="s">
        <v>10</v>
      </c>
    </row>
    <row r="9" ht="15.0" customHeight="1">
      <c r="A9" s="5" t="s">
        <v>11</v>
      </c>
      <c r="B9" s="6" t="s">
        <v>12</v>
      </c>
    </row>
    <row r="10" ht="23.25" customHeight="1">
      <c r="A10" s="5" t="s">
        <v>13</v>
      </c>
      <c r="B10" s="6" t="s">
        <v>14</v>
      </c>
    </row>
    <row r="12" ht="21.75" customHeight="1">
      <c r="A12" s="3" t="s">
        <v>15</v>
      </c>
      <c r="B12" s="4"/>
      <c r="C12" s="4"/>
      <c r="D12" s="4"/>
      <c r="E12" s="4"/>
      <c r="F12" s="4"/>
    </row>
    <row r="13" ht="21.75" customHeight="1">
      <c r="A13" s="8" t="s">
        <v>16</v>
      </c>
      <c r="B13" s="8" t="s">
        <v>17</v>
      </c>
      <c r="C13" s="8" t="s">
        <v>18</v>
      </c>
      <c r="D13" s="8" t="s">
        <v>19</v>
      </c>
    </row>
    <row r="14">
      <c r="A14" s="9" t="s">
        <v>20</v>
      </c>
      <c r="B14" s="9" t="s">
        <v>21</v>
      </c>
      <c r="C14" s="9" t="s">
        <v>10</v>
      </c>
      <c r="D14" s="9" t="s">
        <v>22</v>
      </c>
    </row>
    <row r="16" ht="21.75" customHeight="1">
      <c r="A16" s="3" t="s">
        <v>23</v>
      </c>
      <c r="B16" s="4"/>
      <c r="C16" s="4"/>
      <c r="D16" s="4"/>
      <c r="E16" s="4"/>
      <c r="F16" s="4"/>
    </row>
    <row r="17" ht="21.75" customHeight="1">
      <c r="A17" s="8" t="s">
        <v>24</v>
      </c>
      <c r="B17" s="8" t="s">
        <v>25</v>
      </c>
      <c r="C17" s="8" t="s">
        <v>26</v>
      </c>
    </row>
    <row r="18">
      <c r="A18" s="9" t="s">
        <v>27</v>
      </c>
      <c r="B18" s="9" t="s">
        <v>28</v>
      </c>
      <c r="C18" s="10">
        <f>COUNTIF('03_BR'!A:A,"BR-*")</f>
        <v>286</v>
      </c>
    </row>
    <row r="19">
      <c r="A19" s="9" t="s">
        <v>29</v>
      </c>
      <c r="B19" s="9" t="s">
        <v>30</v>
      </c>
      <c r="C19" s="10">
        <f>COUNTIF('03_BR'!B:B,"Functional BR")</f>
        <v>124</v>
      </c>
    </row>
    <row r="20">
      <c r="A20" s="9" t="s">
        <v>31</v>
      </c>
      <c r="B20" s="9" t="s">
        <v>32</v>
      </c>
      <c r="C20" s="10">
        <f>COUNTIF('03_BR'!B:B,"Non-functional BR")</f>
        <v>41</v>
      </c>
    </row>
    <row r="21" ht="15.75" customHeight="1">
      <c r="A21" s="9" t="s">
        <v>33</v>
      </c>
      <c r="B21" s="9" t="s">
        <v>34</v>
      </c>
      <c r="C21" s="10">
        <f>COUNTIF('03_BR'!B:B,"Business Rule")</f>
        <v>85</v>
      </c>
    </row>
    <row r="22" ht="15.75" customHeight="1">
      <c r="A22" s="9" t="s">
        <v>35</v>
      </c>
      <c r="B22" s="9" t="s">
        <v>36</v>
      </c>
      <c r="C22" s="10">
        <f>COUNTIF('03_BR'!B:B,"Business Constraint")</f>
        <v>22</v>
      </c>
    </row>
    <row r="23" ht="15.75" customHeight="1">
      <c r="A23" s="9" t="s">
        <v>37</v>
      </c>
      <c r="B23" s="9" t="s">
        <v>38</v>
      </c>
      <c r="C23" s="10">
        <f>COUNTIF('03_BR'!B:B,"Business Goal")</f>
        <v>14</v>
      </c>
    </row>
    <row r="24" ht="15.75" customHeight="1">
      <c r="A24" s="9" t="s">
        <v>39</v>
      </c>
      <c r="B24" s="9" t="s">
        <v>40</v>
      </c>
      <c r="C24" s="10" t="str">
        <f>COUNTIF('03_BR'!H:H,"Must")&amp;" / "&amp;COUNTIF('03_BR'!H:H,"Should")&amp;" / "&amp;COUNTIF('03_BR'!H:H,"Could")</f>
        <v>213 / 50 / 23</v>
      </c>
    </row>
    <row r="25" ht="15.75" customHeight="1">
      <c r="A25" s="9" t="s">
        <v>41</v>
      </c>
      <c r="B25" s="9" t="s">
        <v>42</v>
      </c>
      <c r="C25" s="10">
        <f>COUNTIF('04_UC'!A:A,"UC-*")</f>
        <v>63</v>
      </c>
    </row>
    <row r="26" ht="15.75" customHeight="1">
      <c r="A26" s="9" t="s">
        <v>43</v>
      </c>
      <c r="B26" s="9" t="s">
        <v>40</v>
      </c>
      <c r="C26" s="10" t="str">
        <f>COUNTIF('04_UC'!F:F,"Must")&amp;" / "&amp;COUNTIF('04_UC'!F:F,"Should")&amp;" / "&amp;COUNTIF('04_UC'!F:F,"Could")</f>
        <v>50 / 6 / 7</v>
      </c>
    </row>
    <row r="27" ht="15.75" customHeight="1">
      <c r="A27" s="9" t="s">
        <v>44</v>
      </c>
      <c r="B27" s="9" t="s">
        <v>45</v>
      </c>
      <c r="C27" s="10">
        <f>SUM('04_UC'!Q:Q)</f>
        <v>474</v>
      </c>
    </row>
    <row r="28" ht="15.75" customHeight="1">
      <c r="A28" s="9" t="s">
        <v>46</v>
      </c>
      <c r="B28" s="9" t="s">
        <v>47</v>
      </c>
      <c r="C28" s="10">
        <f>SUMIFS('04_UC'!Q:Q,'04_UC'!F:F,"&lt;&gt;Could")</f>
        <v>420</v>
      </c>
    </row>
    <row r="29" ht="15.75" customHeight="1">
      <c r="A29" s="9" t="s">
        <v>48</v>
      </c>
      <c r="B29" s="9" t="s">
        <v>49</v>
      </c>
      <c r="C29" s="10">
        <f>COUNTIF('06_Tham_số'!A:A,"PRM-*")</f>
        <v>109</v>
      </c>
    </row>
    <row r="30" ht="15.75" customHeight="1">
      <c r="A30" s="9" t="s">
        <v>50</v>
      </c>
      <c r="B30" s="9" t="s">
        <v>51</v>
      </c>
      <c r="C30" s="10">
        <f>COUNTIF('09_Dữ_liệu'!A:A,"DB-*")</f>
        <v>55</v>
      </c>
    </row>
    <row r="31" ht="15.75" customHeight="1">
      <c r="A31" s="9" t="s">
        <v>52</v>
      </c>
      <c r="B31" s="9" t="s">
        <v>53</v>
      </c>
      <c r="C31" s="10">
        <f>COUNTIF('10_API'!A:A,"API-*")</f>
        <v>167</v>
      </c>
    </row>
    <row r="32" ht="15.75" customHeight="1">
      <c r="A32" s="9" t="s">
        <v>54</v>
      </c>
      <c r="B32" s="9" t="s">
        <v>55</v>
      </c>
      <c r="C32" s="10">
        <f>COUNTIF('11_Màn_hình'!A:A,"SCR-*")</f>
        <v>64</v>
      </c>
    </row>
    <row r="33" ht="15.75" customHeight="1">
      <c r="A33" s="9" t="s">
        <v>56</v>
      </c>
      <c r="B33" s="11" t="s">
        <v>57</v>
      </c>
      <c r="C33" s="10">
        <f>COUNTIF('16_Rủi_ro'!A:A,"R-*")</f>
        <v>24</v>
      </c>
    </row>
    <row r="34" ht="15.75" customHeight="1">
      <c r="A34" s="9" t="s">
        <v>58</v>
      </c>
      <c r="B34" s="9" t="s">
        <v>59</v>
      </c>
      <c r="C34" s="10">
        <f>SUMPRODUCT(--(('05_Truy_vết'!E5:E67+'05_Truy_vết'!G5:G67)=0))</f>
        <v>0</v>
      </c>
    </row>
    <row r="35" ht="15.75" customHeight="1">
      <c r="A35" s="9" t="s">
        <v>60</v>
      </c>
      <c r="B35" s="9" t="s">
        <v>61</v>
      </c>
      <c r="C35" s="12">
        <f>'13_Kế_hoạch_Nhân_sự'!G21</f>
        <v>0.9777777778</v>
      </c>
    </row>
    <row r="36" ht="15.75" customHeight="1"/>
    <row r="37" ht="21.75" customHeight="1">
      <c r="A37" s="3" t="s">
        <v>62</v>
      </c>
      <c r="B37" s="4"/>
      <c r="C37" s="4"/>
      <c r="D37" s="4"/>
      <c r="E37" s="4"/>
      <c r="F37" s="4"/>
    </row>
    <row r="38" ht="21.75" customHeight="1">
      <c r="A38" s="8" t="s">
        <v>63</v>
      </c>
      <c r="B38" s="8" t="s">
        <v>64</v>
      </c>
    </row>
    <row r="39" ht="15.0" customHeight="1">
      <c r="A39" s="13" t="s">
        <v>65</v>
      </c>
      <c r="B39" s="14" t="s">
        <v>66</v>
      </c>
      <c r="C39" s="15"/>
      <c r="D39" s="15"/>
      <c r="E39" s="15"/>
      <c r="F39" s="16"/>
    </row>
    <row r="40" ht="15.0" customHeight="1">
      <c r="A40" s="13" t="s">
        <v>67</v>
      </c>
      <c r="B40" s="14" t="s">
        <v>68</v>
      </c>
      <c r="C40" s="15"/>
      <c r="D40" s="15"/>
      <c r="E40" s="15"/>
      <c r="F40" s="16"/>
    </row>
    <row r="41" ht="15.0" customHeight="1">
      <c r="A41" s="13" t="s">
        <v>69</v>
      </c>
      <c r="B41" s="14" t="s">
        <v>70</v>
      </c>
      <c r="C41" s="15"/>
      <c r="D41" s="15"/>
      <c r="E41" s="15"/>
      <c r="F41" s="16"/>
    </row>
    <row r="42" ht="15.0" customHeight="1">
      <c r="A42" s="13" t="s">
        <v>71</v>
      </c>
      <c r="B42" s="14" t="s">
        <v>72</v>
      </c>
      <c r="C42" s="15"/>
      <c r="D42" s="15"/>
      <c r="E42" s="15"/>
      <c r="F42" s="16"/>
    </row>
    <row r="43" ht="15.0" customHeight="1">
      <c r="A43" s="13" t="s">
        <v>73</v>
      </c>
      <c r="B43" s="14" t="s">
        <v>74</v>
      </c>
      <c r="C43" s="15"/>
      <c r="D43" s="15"/>
      <c r="E43" s="15"/>
      <c r="F43" s="16"/>
    </row>
    <row r="44" ht="15.0" customHeight="1">
      <c r="A44" s="13" t="s">
        <v>75</v>
      </c>
      <c r="B44" s="14" t="s">
        <v>76</v>
      </c>
      <c r="C44" s="15"/>
      <c r="D44" s="15"/>
      <c r="E44" s="15"/>
      <c r="F44" s="16"/>
    </row>
    <row r="45" ht="15.0" customHeight="1">
      <c r="A45" s="13" t="s">
        <v>77</v>
      </c>
      <c r="B45" s="14" t="s">
        <v>78</v>
      </c>
      <c r="C45" s="15"/>
      <c r="D45" s="15"/>
      <c r="E45" s="15"/>
      <c r="F45" s="16"/>
    </row>
    <row r="46" ht="15.0" customHeight="1">
      <c r="A46" s="13" t="s">
        <v>79</v>
      </c>
      <c r="B46" s="14" t="s">
        <v>80</v>
      </c>
      <c r="C46" s="15"/>
      <c r="D46" s="15"/>
      <c r="E46" s="15"/>
      <c r="F46" s="16"/>
    </row>
    <row r="47" ht="15.0" customHeight="1">
      <c r="A47" s="13" t="s">
        <v>81</v>
      </c>
      <c r="B47" s="14" t="s">
        <v>82</v>
      </c>
      <c r="C47" s="15"/>
      <c r="D47" s="15"/>
      <c r="E47" s="15"/>
      <c r="F47" s="16"/>
    </row>
    <row r="48" ht="15.0" customHeight="1">
      <c r="A48" s="13" t="s">
        <v>83</v>
      </c>
      <c r="B48" s="14" t="s">
        <v>84</v>
      </c>
      <c r="C48" s="15"/>
      <c r="D48" s="15"/>
      <c r="E48" s="15"/>
      <c r="F48" s="16"/>
    </row>
    <row r="49" ht="15.0" customHeight="1">
      <c r="A49" s="13" t="s">
        <v>85</v>
      </c>
      <c r="B49" s="14" t="s">
        <v>86</v>
      </c>
      <c r="C49" s="15"/>
      <c r="D49" s="15"/>
      <c r="E49" s="15"/>
      <c r="F49" s="16"/>
    </row>
    <row r="50" ht="15.0" customHeight="1">
      <c r="A50" s="13" t="s">
        <v>87</v>
      </c>
      <c r="B50" s="14" t="s">
        <v>88</v>
      </c>
      <c r="C50" s="15"/>
      <c r="D50" s="15"/>
      <c r="E50" s="15"/>
      <c r="F50" s="16"/>
    </row>
    <row r="51" ht="15.0" customHeight="1">
      <c r="A51" s="13" t="s">
        <v>89</v>
      </c>
      <c r="B51" s="17" t="s">
        <v>90</v>
      </c>
      <c r="C51" s="15"/>
      <c r="D51" s="15"/>
      <c r="E51" s="15"/>
      <c r="F51" s="16"/>
    </row>
    <row r="52" ht="15.0" customHeight="1">
      <c r="A52" s="18" t="s">
        <v>91</v>
      </c>
      <c r="B52" s="17" t="s">
        <v>92</v>
      </c>
      <c r="C52" s="15"/>
      <c r="D52" s="15"/>
      <c r="E52" s="15"/>
      <c r="F52" s="16"/>
    </row>
    <row r="53" ht="15.0" customHeight="1">
      <c r="A53" s="19" t="s">
        <v>93</v>
      </c>
      <c r="B53" s="17" t="s">
        <v>94</v>
      </c>
      <c r="C53" s="15"/>
      <c r="D53" s="15"/>
      <c r="E53" s="15"/>
      <c r="F53" s="16"/>
    </row>
    <row r="54" ht="15.0" customHeight="1">
      <c r="A54" s="19" t="s">
        <v>95</v>
      </c>
      <c r="B54" s="17" t="s">
        <v>96</v>
      </c>
      <c r="C54" s="15"/>
      <c r="D54" s="15"/>
      <c r="E54" s="15"/>
      <c r="F54" s="16"/>
    </row>
    <row r="55" ht="15.75" customHeight="1">
      <c r="A55" s="20" t="s">
        <v>97</v>
      </c>
      <c r="B55" s="20" t="s">
        <v>98</v>
      </c>
    </row>
    <row r="56" ht="21.75" customHeight="1">
      <c r="A56" s="3" t="s">
        <v>99</v>
      </c>
      <c r="B56" s="4"/>
      <c r="C56" s="4"/>
      <c r="D56" s="4"/>
      <c r="E56" s="4"/>
      <c r="F56" s="4"/>
    </row>
    <row r="57" ht="27.75" customHeight="1">
      <c r="A57" s="5" t="s">
        <v>100</v>
      </c>
      <c r="B57" s="6" t="s">
        <v>101</v>
      </c>
    </row>
    <row r="58" ht="27.75" customHeight="1">
      <c r="A58" s="5" t="s">
        <v>102</v>
      </c>
      <c r="B58" s="6" t="s">
        <v>103</v>
      </c>
    </row>
    <row r="59" ht="27.75" customHeight="1">
      <c r="A59" s="5" t="s">
        <v>104</v>
      </c>
      <c r="B59" s="6" t="s">
        <v>105</v>
      </c>
    </row>
    <row r="60" ht="27.75" customHeight="1">
      <c r="A60" s="5" t="s">
        <v>106</v>
      </c>
      <c r="B60" s="6" t="s">
        <v>107</v>
      </c>
    </row>
    <row r="61" ht="27.75" customHeight="1">
      <c r="A61" s="5" t="s">
        <v>108</v>
      </c>
      <c r="B61" s="6" t="s">
        <v>109</v>
      </c>
    </row>
    <row r="62" ht="15.75" customHeight="1"/>
    <row r="63" ht="21.75" customHeight="1">
      <c r="A63" s="3" t="s">
        <v>110</v>
      </c>
      <c r="B63" s="4"/>
      <c r="C63" s="4"/>
      <c r="D63" s="4"/>
      <c r="E63" s="4"/>
      <c r="F63" s="4"/>
    </row>
    <row r="64" ht="21.75" customHeight="1">
      <c r="A64" s="8" t="s">
        <v>111</v>
      </c>
      <c r="B64" s="8" t="s">
        <v>112</v>
      </c>
      <c r="C64" s="8" t="s">
        <v>113</v>
      </c>
      <c r="D64" s="8" t="s">
        <v>114</v>
      </c>
    </row>
    <row r="65" ht="15.75" customHeight="1">
      <c r="A65" s="21" t="s">
        <v>115</v>
      </c>
      <c r="B65" s="9" t="s">
        <v>116</v>
      </c>
      <c r="C65" s="21">
        <f>COUNTIFS('03_BR'!C:C,A65,'03_BR'!A:A,"BR-*")</f>
        <v>18</v>
      </c>
      <c r="D65" s="21">
        <f>COUNTIFS('04_UC'!C:C,A65,'04_UC'!A:A,"UC-*")</f>
        <v>6</v>
      </c>
    </row>
    <row r="66" ht="15.75" customHeight="1">
      <c r="A66" s="21" t="s">
        <v>117</v>
      </c>
      <c r="B66" s="9" t="s">
        <v>118</v>
      </c>
      <c r="C66" s="21">
        <f>COUNTIFS('03_BR'!C:C,A66,'03_BR'!A:A,"BR-*")</f>
        <v>16</v>
      </c>
      <c r="D66" s="21">
        <f>COUNTIFS('04_UC'!C:C,A66,'04_UC'!A:A,"UC-*")</f>
        <v>4</v>
      </c>
    </row>
    <row r="67" ht="15.75" customHeight="1">
      <c r="A67" s="21" t="s">
        <v>119</v>
      </c>
      <c r="B67" s="9" t="s">
        <v>120</v>
      </c>
      <c r="C67" s="21">
        <f>COUNTIFS('03_BR'!C:C,A67,'03_BR'!A:A,"BR-*")</f>
        <v>25</v>
      </c>
      <c r="D67" s="21">
        <f>COUNTIFS('04_UC'!C:C,A67,'04_UC'!A:A,"UC-*")</f>
        <v>5</v>
      </c>
    </row>
    <row r="68" ht="15.75" customHeight="1">
      <c r="A68" s="21" t="s">
        <v>121</v>
      </c>
      <c r="B68" s="9" t="s">
        <v>122</v>
      </c>
      <c r="C68" s="21">
        <f>COUNTIFS('03_BR'!C:C,A68,'03_BR'!A:A,"BR-*")</f>
        <v>20</v>
      </c>
      <c r="D68" s="21">
        <f>COUNTIFS('04_UC'!C:C,A68,'04_UC'!A:A,"UC-*")</f>
        <v>6</v>
      </c>
    </row>
    <row r="69" ht="15.75" customHeight="1">
      <c r="A69" s="21" t="s">
        <v>123</v>
      </c>
      <c r="B69" s="9" t="s">
        <v>124</v>
      </c>
      <c r="C69" s="21">
        <f>COUNTIFS('03_BR'!C:C,A69,'03_BR'!A:A,"BR-*")</f>
        <v>8</v>
      </c>
      <c r="D69" s="21">
        <f>COUNTIFS('04_UC'!C:C,A69,'04_UC'!A:A,"UC-*")</f>
        <v>2</v>
      </c>
    </row>
    <row r="70" ht="15.75" customHeight="1">
      <c r="A70" s="21" t="s">
        <v>125</v>
      </c>
      <c r="B70" s="9" t="s">
        <v>126</v>
      </c>
      <c r="C70" s="21">
        <f>COUNTIFS('03_BR'!C:C,A70,'03_BR'!A:A,"BR-*")</f>
        <v>8</v>
      </c>
      <c r="D70" s="21">
        <f>COUNTIFS('04_UC'!C:C,A70,'04_UC'!A:A,"UC-*")</f>
        <v>1</v>
      </c>
    </row>
    <row r="71" ht="15.75" customHeight="1">
      <c r="A71" s="21" t="s">
        <v>127</v>
      </c>
      <c r="B71" s="9" t="s">
        <v>128</v>
      </c>
      <c r="C71" s="21">
        <f>COUNTIFS('03_BR'!C:C,A71,'03_BR'!A:A,"BR-*")</f>
        <v>23</v>
      </c>
      <c r="D71" s="21">
        <f>COUNTIFS('04_UC'!C:C,A71,'04_UC'!A:A,"UC-*")</f>
        <v>6</v>
      </c>
    </row>
    <row r="72" ht="15.75" customHeight="1">
      <c r="A72" s="21" t="s">
        <v>129</v>
      </c>
      <c r="B72" s="9" t="s">
        <v>130</v>
      </c>
      <c r="C72" s="21">
        <f>COUNTIFS('03_BR'!C:C,A72,'03_BR'!A:A,"BR-*")</f>
        <v>9</v>
      </c>
      <c r="D72" s="21">
        <f>COUNTIFS('04_UC'!C:C,A72,'04_UC'!A:A,"UC-*")</f>
        <v>3</v>
      </c>
    </row>
    <row r="73" ht="15.75" customHeight="1">
      <c r="A73" s="21" t="s">
        <v>131</v>
      </c>
      <c r="B73" s="9" t="s">
        <v>132</v>
      </c>
      <c r="C73" s="21">
        <f>COUNTIFS('03_BR'!C:C,A73,'03_BR'!A:A,"BR-*")</f>
        <v>51</v>
      </c>
      <c r="D73" s="21">
        <f>COUNTIFS('04_UC'!C:C,A73,'04_UC'!A:A,"UC-*")</f>
        <v>10</v>
      </c>
    </row>
    <row r="74" ht="15.75" customHeight="1">
      <c r="A74" s="21" t="s">
        <v>133</v>
      </c>
      <c r="B74" s="9" t="s">
        <v>134</v>
      </c>
      <c r="C74" s="21">
        <f>COUNTIFS('03_BR'!C:C,A74,'03_BR'!A:A,"BR-*")</f>
        <v>11</v>
      </c>
      <c r="D74" s="21">
        <f>COUNTIFS('04_UC'!C:C,A74,'04_UC'!A:A,"UC-*")</f>
        <v>2</v>
      </c>
    </row>
    <row r="75" ht="15.75" customHeight="1">
      <c r="A75" s="21" t="s">
        <v>135</v>
      </c>
      <c r="B75" s="9" t="s">
        <v>136</v>
      </c>
      <c r="C75" s="21">
        <f>COUNTIFS('03_BR'!C:C,A75,'03_BR'!A:A,"BR-*")</f>
        <v>12</v>
      </c>
      <c r="D75" s="21">
        <f>COUNTIFS('04_UC'!C:C,A75,'04_UC'!A:A,"UC-*")</f>
        <v>3</v>
      </c>
    </row>
    <row r="76" ht="15.75" customHeight="1">
      <c r="A76" s="21" t="s">
        <v>137</v>
      </c>
      <c r="B76" s="9" t="s">
        <v>138</v>
      </c>
      <c r="C76" s="21">
        <f>COUNTIFS('03_BR'!C:C,A76,'03_BR'!A:A,"BR-*")</f>
        <v>11</v>
      </c>
      <c r="D76" s="21">
        <f>COUNTIFS('04_UC'!C:C,A76,'04_UC'!A:A,"UC-*")</f>
        <v>3</v>
      </c>
    </row>
    <row r="77" ht="15.75" customHeight="1">
      <c r="A77" s="21" t="s">
        <v>139</v>
      </c>
      <c r="B77" s="9" t="s">
        <v>140</v>
      </c>
      <c r="C77" s="21">
        <f>COUNTIFS('03_BR'!C:C,A77,'03_BR'!A:A,"BR-*")</f>
        <v>7</v>
      </c>
      <c r="D77" s="21">
        <f>COUNTIFS('04_UC'!C:C,A77,'04_UC'!A:A,"UC-*")</f>
        <v>1</v>
      </c>
    </row>
    <row r="78" ht="15.75" customHeight="1">
      <c r="A78" s="21" t="s">
        <v>141</v>
      </c>
      <c r="B78" s="9" t="s">
        <v>142</v>
      </c>
      <c r="C78" s="21">
        <f>COUNTIFS('03_BR'!C:C,A78,'03_BR'!A:A,"BR-*")</f>
        <v>9</v>
      </c>
      <c r="D78" s="21">
        <f>COUNTIFS('04_UC'!C:C,A78,'04_UC'!A:A,"UC-*")</f>
        <v>3</v>
      </c>
    </row>
    <row r="79" ht="15.75" customHeight="1">
      <c r="A79" s="21" t="s">
        <v>143</v>
      </c>
      <c r="B79" s="9" t="s">
        <v>144</v>
      </c>
      <c r="C79" s="21">
        <f>COUNTIFS('03_BR'!C:C,A79,'03_BR'!A:A,"BR-*")</f>
        <v>10</v>
      </c>
      <c r="D79" s="21">
        <f>COUNTIFS('04_UC'!C:C,A79,'04_UC'!A:A,"UC-*")</f>
        <v>6</v>
      </c>
    </row>
    <row r="80" ht="15.75" customHeight="1">
      <c r="A80" s="21" t="s">
        <v>145</v>
      </c>
      <c r="B80" s="9" t="s">
        <v>146</v>
      </c>
      <c r="C80" s="21">
        <f>COUNTIFS('03_BR'!C:C,A80,'03_BR'!A:A,"BR-*")</f>
        <v>5</v>
      </c>
      <c r="D80" s="21">
        <f>COUNTIFS('04_UC'!C:C,A80,'04_UC'!A:A,"UC-*")</f>
        <v>2</v>
      </c>
    </row>
    <row r="81" ht="15.75" customHeight="1">
      <c r="A81" s="21" t="s">
        <v>147</v>
      </c>
      <c r="B81" s="9" t="s">
        <v>148</v>
      </c>
      <c r="C81" s="21">
        <f>COUNTIFS('03_BR'!C:C,A81,'03_BR'!A:A,"BR-*")</f>
        <v>43</v>
      </c>
      <c r="D81" s="21">
        <f>COUNTIFS('04_UC'!C:C,A81,'04_UC'!A:A,"UC-*")</f>
        <v>0</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B5:F5"/>
    <mergeCell ref="B6:F6"/>
    <mergeCell ref="B7:F7"/>
    <mergeCell ref="B8:F8"/>
    <mergeCell ref="B9:F9"/>
    <mergeCell ref="B10:F10"/>
    <mergeCell ref="B39:F39"/>
    <mergeCell ref="B40:F40"/>
    <mergeCell ref="B41:F41"/>
    <mergeCell ref="B42:F42"/>
    <mergeCell ref="B43:F43"/>
    <mergeCell ref="B44:F44"/>
    <mergeCell ref="B45:F45"/>
    <mergeCell ref="B46:F46"/>
    <mergeCell ref="B54:F54"/>
    <mergeCell ref="B57:F57"/>
    <mergeCell ref="B58:F58"/>
    <mergeCell ref="B59:F59"/>
    <mergeCell ref="B60:F60"/>
    <mergeCell ref="B61:F61"/>
    <mergeCell ref="B47:F47"/>
    <mergeCell ref="B48:F48"/>
    <mergeCell ref="B49:F49"/>
    <mergeCell ref="B50:F50"/>
    <mergeCell ref="B51:F51"/>
    <mergeCell ref="B52:F52"/>
    <mergeCell ref="B53:F53"/>
  </mergeCells>
  <hyperlinks>
    <hyperlink r:id="rId1" location="'01_Tổng_quan'!A1" ref="A39"/>
    <hyperlink r:id="rId2" location="'02_Tác_nhân_Phân_quyền'!A1" ref="A40"/>
    <hyperlink r:id="rId3" location="'03_BR'!A1" ref="A41"/>
    <hyperlink r:id="rId4" location="'04_UC'!A1" ref="A42"/>
    <hyperlink r:id="rId5" location="'05_Truy_vết'!A1" ref="A43"/>
    <hyperlink r:id="rId6" location="'06_Tham_số'!A1" ref="A44"/>
    <hyperlink r:id="rId7" location="'07_Biểu_phí_Mô_phỏng'!A1" ref="A45"/>
    <hyperlink r:id="rId8" location="'08_Trạng_thái'!A1" ref="A46"/>
    <hyperlink r:id="rId9" location="'09_Dữ_liệu'!A1" ref="A47"/>
    <hyperlink r:id="rId10" location="'10_API'!A1" ref="A48"/>
    <hyperlink r:id="rId11" location="'11_Màn_hình'!A1" ref="A49"/>
    <hyperlink r:id="rId12" location="'12_VNPay'!A1" ref="A50"/>
    <hyperlink r:id="rId13" location="'13_Kế_hoạch_Nhân_sự'!A1" ref="A51"/>
  </hyperlinks>
  <printOptions/>
  <pageMargins bottom="1.0" footer="0.0" header="0.0" left="0.75" right="0.75" top="1.0"/>
  <pageSetup fitToHeight="0" orientation="landscape"/>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fitToPage="1"/>
  </sheetPr>
  <sheetViews>
    <sheetView showGridLines="0" workbookViewId="0"/>
  </sheetViews>
  <sheetFormatPr customHeight="1" defaultColWidth="14.43" defaultRowHeight="15.0"/>
  <cols>
    <col customWidth="1" min="1" max="1" width="30.0"/>
    <col customWidth="1" min="2" max="2" width="72.0"/>
    <col customWidth="1" min="3" max="3" width="26.0"/>
    <col customWidth="1" min="4" max="4" width="34.0"/>
    <col customWidth="1" min="5" max="26" width="8.71"/>
  </cols>
  <sheetData>
    <row r="1" ht="25.5" customHeight="1">
      <c r="A1" s="1" t="s">
        <v>149</v>
      </c>
    </row>
    <row r="2">
      <c r="A2" s="2" t="s">
        <v>66</v>
      </c>
    </row>
    <row r="4" ht="21.75" customHeight="1">
      <c r="A4" s="3" t="s">
        <v>150</v>
      </c>
      <c r="B4" s="4"/>
      <c r="C4" s="4"/>
      <c r="D4" s="4"/>
    </row>
    <row r="5" ht="15.0" customHeight="1">
      <c r="A5" s="22" t="s">
        <v>151</v>
      </c>
      <c r="B5" s="6" t="s">
        <v>152</v>
      </c>
    </row>
    <row r="6" ht="15.0" customHeight="1">
      <c r="A6" s="22" t="s">
        <v>153</v>
      </c>
      <c r="B6" s="6" t="s">
        <v>154</v>
      </c>
    </row>
    <row r="7" ht="23.25" customHeight="1">
      <c r="A7" s="22" t="s">
        <v>155</v>
      </c>
      <c r="B7" s="6" t="s">
        <v>156</v>
      </c>
    </row>
    <row r="8" ht="15.0" customHeight="1">
      <c r="A8" s="22" t="s">
        <v>5</v>
      </c>
      <c r="B8" s="7" t="s">
        <v>157</v>
      </c>
    </row>
    <row r="9" ht="15.0" customHeight="1">
      <c r="A9" s="22" t="s">
        <v>158</v>
      </c>
      <c r="B9" s="7" t="s">
        <v>159</v>
      </c>
    </row>
    <row r="10" ht="15.0" customHeight="1">
      <c r="A10" s="22" t="s">
        <v>160</v>
      </c>
      <c r="B10" s="7" t="s">
        <v>161</v>
      </c>
    </row>
    <row r="11" ht="23.25" customHeight="1">
      <c r="A11" s="22" t="s">
        <v>162</v>
      </c>
      <c r="B11" s="6" t="s">
        <v>163</v>
      </c>
    </row>
    <row r="12" ht="15.0" customHeight="1">
      <c r="A12" s="22" t="s">
        <v>164</v>
      </c>
      <c r="B12" s="6" t="s">
        <v>165</v>
      </c>
    </row>
    <row r="13" ht="15.0" customHeight="1">
      <c r="A13" s="22" t="s">
        <v>166</v>
      </c>
      <c r="B13" s="6" t="s">
        <v>167</v>
      </c>
    </row>
    <row r="14" ht="23.25" customHeight="1">
      <c r="A14" s="22" t="s">
        <v>168</v>
      </c>
      <c r="B14" s="6" t="s">
        <v>169</v>
      </c>
    </row>
    <row r="16" ht="21.75" customHeight="1">
      <c r="A16" s="3" t="s">
        <v>170</v>
      </c>
      <c r="B16" s="4"/>
      <c r="C16" s="4"/>
      <c r="D16" s="4"/>
    </row>
    <row r="17" ht="43.5" customHeight="1">
      <c r="A17" s="5" t="s">
        <v>171</v>
      </c>
      <c r="B17" s="6" t="s">
        <v>172</v>
      </c>
    </row>
    <row r="18" ht="43.5" customHeight="1">
      <c r="A18" s="5" t="s">
        <v>173</v>
      </c>
      <c r="B18" s="6" t="s">
        <v>174</v>
      </c>
    </row>
    <row r="20" ht="21.75" customHeight="1">
      <c r="A20" s="3" t="s">
        <v>175</v>
      </c>
      <c r="B20" s="4"/>
      <c r="C20" s="4"/>
      <c r="D20" s="4"/>
    </row>
    <row r="21" ht="21.75" customHeight="1">
      <c r="A21" s="8" t="s">
        <v>176</v>
      </c>
      <c r="B21" s="8" t="s">
        <v>177</v>
      </c>
      <c r="C21" s="8" t="s">
        <v>178</v>
      </c>
      <c r="D21" s="8" t="s">
        <v>179</v>
      </c>
    </row>
    <row r="22" ht="15.75" customHeight="1">
      <c r="A22" s="23" t="s">
        <v>180</v>
      </c>
      <c r="B22" s="9" t="s">
        <v>181</v>
      </c>
      <c r="C22" s="9" t="s">
        <v>182</v>
      </c>
      <c r="D22" s="9" t="s">
        <v>183</v>
      </c>
    </row>
    <row r="23" ht="15.75" customHeight="1">
      <c r="A23" s="23" t="s">
        <v>184</v>
      </c>
      <c r="B23" s="9" t="s">
        <v>185</v>
      </c>
      <c r="C23" s="9" t="s">
        <v>186</v>
      </c>
      <c r="D23" s="9" t="s">
        <v>187</v>
      </c>
    </row>
    <row r="24" ht="15.75" customHeight="1">
      <c r="A24" s="23" t="s">
        <v>188</v>
      </c>
      <c r="B24" s="9" t="s">
        <v>189</v>
      </c>
      <c r="C24" s="9" t="s">
        <v>190</v>
      </c>
      <c r="D24" s="9" t="s">
        <v>191</v>
      </c>
    </row>
    <row r="25" ht="15.75" customHeight="1">
      <c r="A25" s="23" t="s">
        <v>192</v>
      </c>
      <c r="B25" s="9" t="s">
        <v>193</v>
      </c>
      <c r="C25" s="9" t="s">
        <v>194</v>
      </c>
      <c r="D25" s="9" t="s">
        <v>195</v>
      </c>
    </row>
    <row r="26" ht="15.75" customHeight="1">
      <c r="A26" s="23" t="s">
        <v>196</v>
      </c>
      <c r="B26" s="9" t="s">
        <v>197</v>
      </c>
      <c r="C26" s="9" t="s">
        <v>198</v>
      </c>
      <c r="D26" s="9" t="s">
        <v>199</v>
      </c>
    </row>
    <row r="27" ht="15.75" customHeight="1">
      <c r="A27" s="23" t="s">
        <v>200</v>
      </c>
      <c r="B27" s="9" t="s">
        <v>201</v>
      </c>
      <c r="C27" s="9" t="s">
        <v>202</v>
      </c>
      <c r="D27" s="9" t="s">
        <v>203</v>
      </c>
    </row>
    <row r="28" ht="15.75" customHeight="1">
      <c r="A28" s="23" t="s">
        <v>204</v>
      </c>
      <c r="B28" s="9" t="s">
        <v>205</v>
      </c>
      <c r="C28" s="9" t="s">
        <v>206</v>
      </c>
      <c r="D28" s="9" t="s">
        <v>207</v>
      </c>
    </row>
    <row r="29" ht="15.75" customHeight="1">
      <c r="A29" s="23" t="s">
        <v>208</v>
      </c>
      <c r="B29" s="9" t="s">
        <v>209</v>
      </c>
      <c r="C29" s="9" t="s">
        <v>210</v>
      </c>
      <c r="D29" s="9" t="s">
        <v>211</v>
      </c>
    </row>
    <row r="30" ht="15.75" customHeight="1"/>
    <row r="31" ht="21.75" customHeight="1">
      <c r="A31" s="3" t="s">
        <v>212</v>
      </c>
      <c r="B31" s="4"/>
      <c r="C31" s="4"/>
      <c r="D31" s="4"/>
    </row>
    <row r="32" ht="30.0" customHeight="1">
      <c r="A32" s="5" t="s">
        <v>213</v>
      </c>
      <c r="B32" s="6" t="s">
        <v>214</v>
      </c>
    </row>
    <row r="33" ht="30.0" customHeight="1">
      <c r="A33" s="5" t="s">
        <v>215</v>
      </c>
      <c r="B33" s="6" t="s">
        <v>216</v>
      </c>
    </row>
    <row r="34" ht="30.0" customHeight="1">
      <c r="A34" s="5" t="s">
        <v>217</v>
      </c>
      <c r="B34" s="6" t="s">
        <v>218</v>
      </c>
    </row>
    <row r="35" ht="30.0" customHeight="1">
      <c r="A35" s="5" t="s">
        <v>219</v>
      </c>
      <c r="B35" s="6" t="s">
        <v>220</v>
      </c>
    </row>
    <row r="36" ht="30.0" customHeight="1">
      <c r="A36" s="5" t="s">
        <v>221</v>
      </c>
      <c r="B36" s="6" t="s">
        <v>222</v>
      </c>
    </row>
    <row r="37" ht="30.0" customHeight="1">
      <c r="A37" s="5" t="s">
        <v>223</v>
      </c>
      <c r="B37" s="6" t="s">
        <v>224</v>
      </c>
    </row>
    <row r="38" ht="15.75" customHeight="1"/>
    <row r="39" ht="21.75" customHeight="1">
      <c r="A39" s="3" t="s">
        <v>225</v>
      </c>
      <c r="B39" s="4"/>
      <c r="C39" s="4"/>
      <c r="D39" s="4"/>
    </row>
    <row r="40" ht="21.75" customHeight="1">
      <c r="A40" s="8" t="s">
        <v>226</v>
      </c>
      <c r="B40" s="8" t="s">
        <v>64</v>
      </c>
      <c r="C40" s="8"/>
      <c r="D40" s="8"/>
    </row>
    <row r="41" ht="43.5" customHeight="1">
      <c r="A41" s="23" t="s">
        <v>227</v>
      </c>
      <c r="B41" s="14" t="s">
        <v>228</v>
      </c>
      <c r="C41" s="15"/>
      <c r="D41" s="16"/>
    </row>
    <row r="42" ht="43.5" customHeight="1">
      <c r="A42" s="23" t="s">
        <v>229</v>
      </c>
      <c r="B42" s="14" t="s">
        <v>230</v>
      </c>
      <c r="C42" s="15"/>
      <c r="D42" s="16"/>
    </row>
    <row r="43" ht="43.5" customHeight="1">
      <c r="A43" s="23" t="s">
        <v>231</v>
      </c>
      <c r="B43" s="14" t="s">
        <v>232</v>
      </c>
      <c r="C43" s="15"/>
      <c r="D43" s="16"/>
    </row>
    <row r="44" ht="15.0" customHeight="1">
      <c r="A44" s="23" t="s">
        <v>233</v>
      </c>
      <c r="B44" s="14" t="s">
        <v>234</v>
      </c>
      <c r="C44" s="15"/>
      <c r="D44" s="16"/>
    </row>
    <row r="45" ht="15.0" customHeight="1">
      <c r="A45" s="23"/>
      <c r="B45" s="14" t="s">
        <v>235</v>
      </c>
      <c r="C45" s="15"/>
      <c r="D45" s="16"/>
    </row>
    <row r="46" ht="15.0" customHeight="1">
      <c r="A46" s="23"/>
      <c r="B46" s="14" t="s">
        <v>236</v>
      </c>
      <c r="C46" s="15"/>
      <c r="D46" s="16"/>
    </row>
    <row r="47" ht="15.0" customHeight="1">
      <c r="A47" s="23"/>
      <c r="B47" s="14" t="s">
        <v>237</v>
      </c>
      <c r="C47" s="15"/>
      <c r="D47" s="16"/>
    </row>
    <row r="48" ht="15.0" customHeight="1">
      <c r="A48" s="23"/>
      <c r="B48" s="14" t="s">
        <v>238</v>
      </c>
      <c r="C48" s="15"/>
      <c r="D48" s="16"/>
    </row>
    <row r="49" ht="15.0" customHeight="1">
      <c r="A49" s="23"/>
      <c r="B49" s="14" t="s">
        <v>239</v>
      </c>
      <c r="C49" s="15"/>
      <c r="D49" s="16"/>
    </row>
    <row r="50" ht="15.0" customHeight="1">
      <c r="A50" s="23"/>
      <c r="B50" s="14" t="s">
        <v>240</v>
      </c>
      <c r="C50" s="15"/>
      <c r="D50" s="16"/>
    </row>
    <row r="51" ht="15.75" customHeight="1"/>
    <row r="52" ht="21.75" customHeight="1">
      <c r="A52" s="3" t="s">
        <v>241</v>
      </c>
      <c r="B52" s="4"/>
      <c r="C52" s="4"/>
      <c r="D52" s="4"/>
    </row>
    <row r="53" ht="21.75" customHeight="1">
      <c r="A53" s="8" t="s">
        <v>242</v>
      </c>
      <c r="B53" s="8" t="s">
        <v>243</v>
      </c>
      <c r="C53" s="8" t="s">
        <v>244</v>
      </c>
      <c r="D53" s="8"/>
    </row>
    <row r="54" ht="15.75" customHeight="1">
      <c r="A54" s="23" t="s">
        <v>245</v>
      </c>
      <c r="B54" s="9" t="s">
        <v>246</v>
      </c>
      <c r="C54" s="9" t="s">
        <v>247</v>
      </c>
      <c r="D54" s="9"/>
    </row>
    <row r="55" ht="15.75" customHeight="1">
      <c r="A55" s="23" t="s">
        <v>248</v>
      </c>
      <c r="B55" s="9" t="s">
        <v>249</v>
      </c>
      <c r="C55" s="9" t="s">
        <v>247</v>
      </c>
      <c r="D55" s="9"/>
    </row>
    <row r="56" ht="15.75" customHeight="1">
      <c r="A56" s="23" t="s">
        <v>215</v>
      </c>
      <c r="B56" s="9" t="s">
        <v>250</v>
      </c>
      <c r="C56" s="9" t="s">
        <v>247</v>
      </c>
      <c r="D56" s="9"/>
    </row>
    <row r="57" ht="15.75" customHeight="1">
      <c r="A57" s="23" t="s">
        <v>251</v>
      </c>
      <c r="B57" s="9" t="s">
        <v>252</v>
      </c>
      <c r="C57" s="9" t="s">
        <v>247</v>
      </c>
      <c r="D57" s="9"/>
    </row>
    <row r="58" ht="15.75" customHeight="1">
      <c r="A58" s="23" t="s">
        <v>253</v>
      </c>
      <c r="B58" s="9" t="s">
        <v>254</v>
      </c>
      <c r="C58" s="9" t="s">
        <v>255</v>
      </c>
      <c r="D58" s="9"/>
    </row>
    <row r="59" ht="15.75" customHeight="1">
      <c r="A59" s="23" t="s">
        <v>256</v>
      </c>
      <c r="B59" s="9" t="s">
        <v>257</v>
      </c>
      <c r="C59" s="9" t="s">
        <v>247</v>
      </c>
      <c r="D59" s="9"/>
    </row>
    <row r="60" ht="15.75" customHeight="1">
      <c r="A60" s="23" t="s">
        <v>258</v>
      </c>
      <c r="B60" s="9" t="s">
        <v>259</v>
      </c>
      <c r="C60" s="9" t="s">
        <v>255</v>
      </c>
      <c r="D60" s="9"/>
    </row>
    <row r="61" ht="15.75" customHeight="1">
      <c r="A61" s="23" t="s">
        <v>260</v>
      </c>
      <c r="B61" s="9" t="s">
        <v>261</v>
      </c>
      <c r="C61" s="9" t="s">
        <v>262</v>
      </c>
      <c r="D61" s="9"/>
    </row>
    <row r="62" ht="15.75" customHeight="1"/>
    <row r="63" ht="21.75" customHeight="1">
      <c r="A63" s="3" t="s">
        <v>263</v>
      </c>
      <c r="B63" s="4"/>
      <c r="C63" s="4"/>
      <c r="D63" s="4"/>
    </row>
    <row r="64" ht="21.75" customHeight="1">
      <c r="A64" s="8" t="s">
        <v>264</v>
      </c>
      <c r="B64" s="8" t="s">
        <v>64</v>
      </c>
      <c r="C64" s="8"/>
      <c r="D64" s="8"/>
    </row>
    <row r="65" ht="30.0" customHeight="1">
      <c r="A65" s="9" t="s">
        <v>265</v>
      </c>
      <c r="B65" s="17" t="s">
        <v>266</v>
      </c>
      <c r="C65" s="15"/>
      <c r="D65" s="16"/>
    </row>
    <row r="66" ht="30.0" customHeight="1">
      <c r="A66" s="9" t="s">
        <v>265</v>
      </c>
      <c r="B66" s="14" t="s">
        <v>267</v>
      </c>
      <c r="C66" s="15"/>
      <c r="D66" s="16"/>
    </row>
    <row r="67" ht="30.0" customHeight="1">
      <c r="A67" s="9" t="s">
        <v>265</v>
      </c>
      <c r="B67" s="14" t="s">
        <v>268</v>
      </c>
      <c r="C67" s="15"/>
      <c r="D67" s="16"/>
    </row>
    <row r="68" ht="30.0" customHeight="1">
      <c r="A68" s="9" t="s">
        <v>265</v>
      </c>
      <c r="B68" s="14" t="s">
        <v>269</v>
      </c>
      <c r="C68" s="15"/>
      <c r="D68" s="16"/>
    </row>
    <row r="69" ht="30.0" customHeight="1">
      <c r="A69" s="9" t="s">
        <v>265</v>
      </c>
      <c r="B69" s="14" t="s">
        <v>270</v>
      </c>
      <c r="C69" s="15"/>
      <c r="D69" s="16"/>
    </row>
    <row r="70" ht="30.0" customHeight="1">
      <c r="A70" s="9" t="s">
        <v>271</v>
      </c>
      <c r="B70" s="14" t="s">
        <v>272</v>
      </c>
      <c r="C70" s="15"/>
      <c r="D70" s="16"/>
    </row>
    <row r="71" ht="30.0" customHeight="1">
      <c r="A71" s="9" t="s">
        <v>271</v>
      </c>
      <c r="B71" s="14" t="s">
        <v>273</v>
      </c>
      <c r="C71" s="15"/>
      <c r="D71" s="16"/>
    </row>
    <row r="72" ht="30.0" customHeight="1">
      <c r="A72" s="9" t="s">
        <v>271</v>
      </c>
      <c r="B72" s="14" t="s">
        <v>274</v>
      </c>
      <c r="C72" s="15"/>
      <c r="D72" s="16"/>
    </row>
    <row r="73" ht="30.0" customHeight="1">
      <c r="A73" s="9" t="s">
        <v>271</v>
      </c>
      <c r="B73" s="14" t="s">
        <v>275</v>
      </c>
      <c r="C73" s="15"/>
      <c r="D73" s="16"/>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B5:D5"/>
    <mergeCell ref="B6:D6"/>
    <mergeCell ref="B7:D7"/>
    <mergeCell ref="B8:D8"/>
    <mergeCell ref="B9:D9"/>
    <mergeCell ref="B10:D10"/>
    <mergeCell ref="B11:D11"/>
    <mergeCell ref="B12:D12"/>
    <mergeCell ref="B13:D13"/>
    <mergeCell ref="B14:D14"/>
    <mergeCell ref="B17:D17"/>
    <mergeCell ref="B18:D18"/>
    <mergeCell ref="B32:D32"/>
    <mergeCell ref="B33:D33"/>
    <mergeCell ref="B34:D34"/>
    <mergeCell ref="B35:D35"/>
    <mergeCell ref="B36:D36"/>
    <mergeCell ref="B37:D37"/>
    <mergeCell ref="B41:D41"/>
    <mergeCell ref="B42:D42"/>
    <mergeCell ref="B43:D43"/>
    <mergeCell ref="B44:D44"/>
    <mergeCell ref="B45:D45"/>
    <mergeCell ref="B46:D46"/>
    <mergeCell ref="B47:D47"/>
    <mergeCell ref="B48:D48"/>
    <mergeCell ref="B49:D49"/>
    <mergeCell ref="B50:D50"/>
    <mergeCell ref="B72:D72"/>
    <mergeCell ref="B73:D73"/>
    <mergeCell ref="B65:D65"/>
    <mergeCell ref="B66:D66"/>
    <mergeCell ref="B67:D67"/>
    <mergeCell ref="B68:D68"/>
    <mergeCell ref="B69:D69"/>
    <mergeCell ref="B70:D70"/>
    <mergeCell ref="B71:D71"/>
  </mergeCells>
  <printOptions/>
  <pageMargins bottom="1.0" footer="0.0" header="0.0" left="0.75" right="0.75" top="1.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E79"/>
    <pageSetUpPr fitToPage="1"/>
  </sheetPr>
  <sheetViews>
    <sheetView showGridLines="0" workbookViewId="0"/>
  </sheetViews>
  <sheetFormatPr customHeight="1" defaultColWidth="14.43" defaultRowHeight="15.0"/>
  <cols>
    <col customWidth="1" min="1" max="1" width="8.0"/>
    <col customWidth="1" min="2" max="2" width="40.0"/>
    <col customWidth="1" min="3" max="8" width="22.0"/>
    <col customWidth="1" min="9" max="9" width="14.0"/>
    <col customWidth="1" min="10" max="26" width="8.71"/>
  </cols>
  <sheetData>
    <row r="1" ht="25.5" customHeight="1">
      <c r="A1" s="1" t="s">
        <v>276</v>
      </c>
    </row>
    <row r="2">
      <c r="A2" s="2" t="s">
        <v>277</v>
      </c>
    </row>
    <row r="4" ht="21.75" customHeight="1">
      <c r="A4" s="3" t="s">
        <v>278</v>
      </c>
      <c r="B4" s="4"/>
      <c r="C4" s="4"/>
      <c r="D4" s="4"/>
      <c r="E4" s="4"/>
      <c r="F4" s="4"/>
      <c r="G4" s="4"/>
      <c r="H4" s="4"/>
    </row>
    <row r="5" ht="21.75" customHeight="1">
      <c r="A5" s="8" t="s">
        <v>111</v>
      </c>
      <c r="B5" s="8" t="s">
        <v>279</v>
      </c>
      <c r="C5" s="8" t="s">
        <v>264</v>
      </c>
      <c r="D5" s="24" t="s">
        <v>177</v>
      </c>
      <c r="E5" s="16"/>
      <c r="F5" s="24" t="s">
        <v>280</v>
      </c>
      <c r="G5" s="16"/>
      <c r="H5" s="24" t="s">
        <v>281</v>
      </c>
      <c r="I5" s="16"/>
    </row>
    <row r="6" ht="48.0" customHeight="1">
      <c r="A6" s="25" t="s">
        <v>282</v>
      </c>
      <c r="B6" s="9" t="s">
        <v>283</v>
      </c>
      <c r="C6" s="9" t="s">
        <v>284</v>
      </c>
      <c r="D6" s="14" t="s">
        <v>285</v>
      </c>
      <c r="E6" s="16"/>
      <c r="F6" s="14" t="s">
        <v>286</v>
      </c>
      <c r="G6" s="16"/>
      <c r="H6" s="14" t="s">
        <v>287</v>
      </c>
      <c r="I6" s="16"/>
    </row>
    <row r="7" ht="78.0" customHeight="1">
      <c r="A7" s="25" t="s">
        <v>288</v>
      </c>
      <c r="B7" s="9" t="s">
        <v>289</v>
      </c>
      <c r="C7" s="9" t="s">
        <v>284</v>
      </c>
      <c r="D7" s="14" t="s">
        <v>290</v>
      </c>
      <c r="E7" s="16"/>
      <c r="F7" s="14" t="s">
        <v>291</v>
      </c>
      <c r="G7" s="16"/>
      <c r="H7" s="14" t="s">
        <v>292</v>
      </c>
      <c r="I7" s="16"/>
    </row>
    <row r="8" ht="78.0" customHeight="1">
      <c r="A8" s="25" t="s">
        <v>293</v>
      </c>
      <c r="B8" s="9" t="s">
        <v>294</v>
      </c>
      <c r="C8" s="9" t="s">
        <v>284</v>
      </c>
      <c r="D8" s="14" t="s">
        <v>295</v>
      </c>
      <c r="E8" s="16"/>
      <c r="F8" s="14" t="s">
        <v>296</v>
      </c>
      <c r="G8" s="16"/>
      <c r="H8" s="14" t="s">
        <v>297</v>
      </c>
      <c r="I8" s="16"/>
    </row>
    <row r="9" ht="48.0" customHeight="1">
      <c r="A9" s="25" t="s">
        <v>298</v>
      </c>
      <c r="B9" s="9" t="s">
        <v>299</v>
      </c>
      <c r="C9" s="9" t="s">
        <v>300</v>
      </c>
      <c r="D9" s="14" t="s">
        <v>301</v>
      </c>
      <c r="E9" s="16"/>
      <c r="F9" s="14" t="s">
        <v>302</v>
      </c>
      <c r="G9" s="16"/>
      <c r="H9" s="14" t="s">
        <v>303</v>
      </c>
      <c r="I9" s="16"/>
    </row>
    <row r="10" ht="48.0" customHeight="1">
      <c r="A10" s="25" t="s">
        <v>304</v>
      </c>
      <c r="B10" s="9" t="s">
        <v>305</v>
      </c>
      <c r="C10" s="9" t="s">
        <v>306</v>
      </c>
      <c r="D10" s="14" t="s">
        <v>307</v>
      </c>
      <c r="E10" s="16"/>
      <c r="F10" s="14" t="s">
        <v>308</v>
      </c>
      <c r="G10" s="16"/>
      <c r="H10" s="14" t="s">
        <v>309</v>
      </c>
      <c r="I10" s="16"/>
    </row>
    <row r="11" ht="48.0" customHeight="1">
      <c r="A11" s="25" t="s">
        <v>310</v>
      </c>
      <c r="B11" s="9" t="s">
        <v>311</v>
      </c>
      <c r="C11" s="9" t="s">
        <v>306</v>
      </c>
      <c r="D11" s="14" t="s">
        <v>312</v>
      </c>
      <c r="E11" s="16"/>
      <c r="F11" s="14" t="s">
        <v>313</v>
      </c>
      <c r="G11" s="16"/>
      <c r="H11" s="14" t="s">
        <v>314</v>
      </c>
      <c r="I11" s="16"/>
    </row>
    <row r="12" ht="48.0" customHeight="1">
      <c r="A12" s="25" t="s">
        <v>315</v>
      </c>
      <c r="B12" s="9" t="s">
        <v>316</v>
      </c>
      <c r="C12" s="9" t="s">
        <v>317</v>
      </c>
      <c r="D12" s="14" t="s">
        <v>318</v>
      </c>
      <c r="E12" s="16"/>
      <c r="F12" s="14" t="s">
        <v>319</v>
      </c>
      <c r="G12" s="16"/>
      <c r="H12" s="14" t="s">
        <v>320</v>
      </c>
      <c r="I12" s="16"/>
    </row>
    <row r="13" ht="48.0" customHeight="1">
      <c r="A13" s="25" t="s">
        <v>321</v>
      </c>
      <c r="B13" s="9" t="s">
        <v>322</v>
      </c>
      <c r="C13" s="9" t="s">
        <v>323</v>
      </c>
      <c r="D13" s="14" t="s">
        <v>324</v>
      </c>
      <c r="E13" s="16"/>
      <c r="F13" s="14" t="s">
        <v>325</v>
      </c>
      <c r="G13" s="16"/>
      <c r="H13" s="14" t="s">
        <v>326</v>
      </c>
      <c r="I13" s="16"/>
    </row>
    <row r="14" ht="48.0" customHeight="1">
      <c r="A14" s="25" t="s">
        <v>327</v>
      </c>
      <c r="B14" s="9" t="s">
        <v>328</v>
      </c>
      <c r="C14" s="9" t="s">
        <v>323</v>
      </c>
      <c r="D14" s="14" t="s">
        <v>329</v>
      </c>
      <c r="E14" s="16"/>
      <c r="F14" s="14" t="s">
        <v>330</v>
      </c>
      <c r="G14" s="16"/>
      <c r="H14" s="14" t="s">
        <v>331</v>
      </c>
      <c r="I14" s="16"/>
    </row>
    <row r="15" ht="48.0" customHeight="1">
      <c r="A15" s="25" t="s">
        <v>332</v>
      </c>
      <c r="B15" s="9" t="s">
        <v>333</v>
      </c>
      <c r="C15" s="9" t="s">
        <v>323</v>
      </c>
      <c r="D15" s="14" t="s">
        <v>334</v>
      </c>
      <c r="E15" s="16"/>
      <c r="F15" s="14" t="s">
        <v>335</v>
      </c>
      <c r="G15" s="16"/>
      <c r="H15" s="14" t="s">
        <v>336</v>
      </c>
      <c r="I15" s="16"/>
    </row>
    <row r="16" ht="48.0" customHeight="1">
      <c r="A16" s="25" t="s">
        <v>337</v>
      </c>
      <c r="B16" s="9" t="s">
        <v>338</v>
      </c>
      <c r="C16" s="9" t="s">
        <v>339</v>
      </c>
      <c r="D16" s="14" t="s">
        <v>340</v>
      </c>
      <c r="E16" s="16"/>
      <c r="F16" s="14" t="s">
        <v>341</v>
      </c>
      <c r="G16" s="16"/>
      <c r="H16" s="14" t="s">
        <v>342</v>
      </c>
      <c r="I16" s="16"/>
    </row>
    <row r="18" ht="21.75" customHeight="1">
      <c r="A18" s="3" t="s">
        <v>343</v>
      </c>
      <c r="B18" s="4"/>
      <c r="C18" s="4"/>
      <c r="D18" s="4"/>
      <c r="E18" s="4"/>
      <c r="F18" s="4"/>
      <c r="G18" s="4"/>
      <c r="H18" s="4"/>
    </row>
    <row r="19" ht="24.0" customHeight="1">
      <c r="A19" s="8" t="s">
        <v>344</v>
      </c>
      <c r="B19" s="8" t="s">
        <v>345</v>
      </c>
      <c r="C19" s="8" t="s">
        <v>346</v>
      </c>
      <c r="D19" s="8" t="s">
        <v>347</v>
      </c>
      <c r="E19" s="8" t="s">
        <v>215</v>
      </c>
      <c r="F19" s="8" t="s">
        <v>251</v>
      </c>
      <c r="G19" s="8" t="s">
        <v>253</v>
      </c>
      <c r="H19" s="8" t="s">
        <v>348</v>
      </c>
      <c r="I19" s="8" t="s">
        <v>349</v>
      </c>
    </row>
    <row r="20">
      <c r="A20" s="21">
        <v>1.0</v>
      </c>
      <c r="B20" s="9" t="s">
        <v>350</v>
      </c>
      <c r="C20" s="21" t="s">
        <v>351</v>
      </c>
      <c r="D20" s="26" t="s">
        <v>352</v>
      </c>
      <c r="E20" s="26" t="s">
        <v>352</v>
      </c>
      <c r="F20" s="26" t="s">
        <v>352</v>
      </c>
      <c r="G20" s="26" t="s">
        <v>352</v>
      </c>
      <c r="H20" s="26" t="s">
        <v>352</v>
      </c>
      <c r="I20" s="26" t="s">
        <v>352</v>
      </c>
    </row>
    <row r="21" ht="15.75" customHeight="1">
      <c r="A21" s="21">
        <v>2.0</v>
      </c>
      <c r="B21" s="9" t="s">
        <v>353</v>
      </c>
      <c r="C21" s="21" t="s">
        <v>354</v>
      </c>
      <c r="D21" s="26" t="s">
        <v>352</v>
      </c>
      <c r="E21" s="26" t="s">
        <v>352</v>
      </c>
      <c r="F21" s="26" t="s">
        <v>352</v>
      </c>
      <c r="G21" s="27" t="s">
        <v>351</v>
      </c>
      <c r="H21" s="27" t="s">
        <v>351</v>
      </c>
      <c r="I21" s="26" t="s">
        <v>352</v>
      </c>
    </row>
    <row r="22" ht="15.75" customHeight="1">
      <c r="A22" s="21">
        <v>3.0</v>
      </c>
      <c r="B22" s="9" t="s">
        <v>355</v>
      </c>
      <c r="C22" s="21" t="s">
        <v>356</v>
      </c>
      <c r="D22" s="26" t="s">
        <v>352</v>
      </c>
      <c r="E22" s="27" t="s">
        <v>351</v>
      </c>
      <c r="F22" s="27" t="s">
        <v>351</v>
      </c>
      <c r="G22" s="27" t="s">
        <v>351</v>
      </c>
      <c r="H22" s="27" t="s">
        <v>351</v>
      </c>
      <c r="I22" s="27" t="s">
        <v>351</v>
      </c>
    </row>
    <row r="23" ht="15.75" customHeight="1">
      <c r="A23" s="21">
        <v>4.0</v>
      </c>
      <c r="B23" s="9" t="s">
        <v>357</v>
      </c>
      <c r="C23" s="21" t="s">
        <v>358</v>
      </c>
      <c r="D23" s="26" t="s">
        <v>352</v>
      </c>
      <c r="E23" s="26" t="s">
        <v>352</v>
      </c>
      <c r="F23" s="26" t="s">
        <v>352</v>
      </c>
      <c r="G23" s="27" t="s">
        <v>351</v>
      </c>
      <c r="H23" s="26" t="s">
        <v>352</v>
      </c>
      <c r="I23" s="26" t="s">
        <v>352</v>
      </c>
    </row>
    <row r="24" ht="15.75" customHeight="1">
      <c r="A24" s="21">
        <v>5.0</v>
      </c>
      <c r="B24" s="9" t="s">
        <v>359</v>
      </c>
      <c r="C24" s="21" t="s">
        <v>360</v>
      </c>
      <c r="D24" s="27" t="s">
        <v>351</v>
      </c>
      <c r="E24" s="28" t="s">
        <v>361</v>
      </c>
      <c r="F24" s="28" t="s">
        <v>361</v>
      </c>
      <c r="G24" s="27" t="s">
        <v>351</v>
      </c>
      <c r="H24" s="28" t="s">
        <v>361</v>
      </c>
      <c r="I24" s="28" t="s">
        <v>361</v>
      </c>
    </row>
    <row r="25" ht="15.75" customHeight="1">
      <c r="A25" s="21">
        <v>6.0</v>
      </c>
      <c r="B25" s="9" t="s">
        <v>362</v>
      </c>
      <c r="C25" s="21" t="s">
        <v>363</v>
      </c>
      <c r="D25" s="27" t="s">
        <v>351</v>
      </c>
      <c r="E25" s="26" t="s">
        <v>352</v>
      </c>
      <c r="F25" s="26" t="s">
        <v>352</v>
      </c>
      <c r="G25" s="27" t="s">
        <v>351</v>
      </c>
      <c r="H25" s="27" t="s">
        <v>351</v>
      </c>
      <c r="I25" s="27" t="s">
        <v>351</v>
      </c>
    </row>
    <row r="26" ht="15.75" customHeight="1">
      <c r="A26" s="21">
        <v>7.0</v>
      </c>
      <c r="B26" s="9" t="s">
        <v>364</v>
      </c>
      <c r="C26" s="21" t="s">
        <v>365</v>
      </c>
      <c r="D26" s="27" t="s">
        <v>351</v>
      </c>
      <c r="E26" s="27" t="s">
        <v>351</v>
      </c>
      <c r="F26" s="27" t="s">
        <v>351</v>
      </c>
      <c r="G26" s="27" t="s">
        <v>351</v>
      </c>
      <c r="H26" s="26" t="s">
        <v>352</v>
      </c>
      <c r="I26" s="26" t="s">
        <v>352</v>
      </c>
    </row>
    <row r="27" ht="15.75" customHeight="1">
      <c r="A27" s="21">
        <v>8.0</v>
      </c>
      <c r="B27" s="9" t="s">
        <v>366</v>
      </c>
      <c r="C27" s="21" t="s">
        <v>367</v>
      </c>
      <c r="D27" s="27" t="s">
        <v>351</v>
      </c>
      <c r="E27" s="26" t="s">
        <v>352</v>
      </c>
      <c r="F27" s="27" t="s">
        <v>351</v>
      </c>
      <c r="G27" s="27" t="s">
        <v>351</v>
      </c>
      <c r="H27" s="27" t="s">
        <v>351</v>
      </c>
      <c r="I27" s="27" t="s">
        <v>351</v>
      </c>
    </row>
    <row r="28" ht="15.75" customHeight="1">
      <c r="A28" s="21">
        <v>9.0</v>
      </c>
      <c r="B28" s="9" t="s">
        <v>368</v>
      </c>
      <c r="C28" s="21" t="s">
        <v>369</v>
      </c>
      <c r="D28" s="27" t="s">
        <v>351</v>
      </c>
      <c r="E28" s="28" t="s">
        <v>361</v>
      </c>
      <c r="F28" s="27" t="s">
        <v>351</v>
      </c>
      <c r="G28" s="27" t="s">
        <v>351</v>
      </c>
      <c r="H28" s="27" t="s">
        <v>351</v>
      </c>
      <c r="I28" s="27" t="s">
        <v>351</v>
      </c>
    </row>
    <row r="29" ht="15.75" customHeight="1">
      <c r="A29" s="21">
        <v>10.0</v>
      </c>
      <c r="B29" s="9" t="s">
        <v>370</v>
      </c>
      <c r="C29" s="21" t="s">
        <v>371</v>
      </c>
      <c r="D29" s="27" t="s">
        <v>351</v>
      </c>
      <c r="E29" s="28" t="s">
        <v>361</v>
      </c>
      <c r="F29" s="28" t="s">
        <v>361</v>
      </c>
      <c r="G29" s="27" t="s">
        <v>351</v>
      </c>
      <c r="H29" s="27" t="s">
        <v>351</v>
      </c>
      <c r="I29" s="26" t="s">
        <v>352</v>
      </c>
    </row>
    <row r="30" ht="15.75" customHeight="1">
      <c r="A30" s="21">
        <v>11.0</v>
      </c>
      <c r="B30" s="9" t="s">
        <v>372</v>
      </c>
      <c r="C30" s="21" t="s">
        <v>373</v>
      </c>
      <c r="D30" s="27" t="s">
        <v>351</v>
      </c>
      <c r="E30" s="28" t="s">
        <v>361</v>
      </c>
      <c r="F30" s="28" t="s">
        <v>361</v>
      </c>
      <c r="G30" s="27" t="s">
        <v>351</v>
      </c>
      <c r="H30" s="26" t="s">
        <v>352</v>
      </c>
      <c r="I30" s="26" t="s">
        <v>352</v>
      </c>
    </row>
    <row r="31" ht="15.75" customHeight="1">
      <c r="A31" s="21">
        <v>12.0</v>
      </c>
      <c r="B31" s="9" t="s">
        <v>374</v>
      </c>
      <c r="C31" s="21" t="s">
        <v>375</v>
      </c>
      <c r="D31" s="27" t="s">
        <v>351</v>
      </c>
      <c r="E31" s="27" t="s">
        <v>351</v>
      </c>
      <c r="F31" s="26" t="s">
        <v>352</v>
      </c>
      <c r="G31" s="27" t="s">
        <v>351</v>
      </c>
      <c r="H31" s="27" t="s">
        <v>351</v>
      </c>
      <c r="I31" s="26" t="s">
        <v>352</v>
      </c>
    </row>
    <row r="32" ht="15.75" customHeight="1">
      <c r="A32" s="21">
        <v>13.0</v>
      </c>
      <c r="B32" s="9" t="s">
        <v>376</v>
      </c>
      <c r="C32" s="21" t="s">
        <v>377</v>
      </c>
      <c r="D32" s="27" t="s">
        <v>351</v>
      </c>
      <c r="E32" s="27" t="s">
        <v>351</v>
      </c>
      <c r="F32" s="26" t="s">
        <v>352</v>
      </c>
      <c r="G32" s="27" t="s">
        <v>351</v>
      </c>
      <c r="H32" s="27" t="s">
        <v>351</v>
      </c>
      <c r="I32" s="27" t="s">
        <v>351</v>
      </c>
    </row>
    <row r="33" ht="15.75" customHeight="1">
      <c r="A33" s="21">
        <v>14.0</v>
      </c>
      <c r="B33" s="9" t="s">
        <v>378</v>
      </c>
      <c r="C33" s="21" t="s">
        <v>379</v>
      </c>
      <c r="D33" s="27" t="s">
        <v>351</v>
      </c>
      <c r="E33" s="28" t="s">
        <v>361</v>
      </c>
      <c r="F33" s="27" t="s">
        <v>351</v>
      </c>
      <c r="G33" s="27" t="s">
        <v>351</v>
      </c>
      <c r="H33" s="27" t="s">
        <v>351</v>
      </c>
      <c r="I33" s="27" t="s">
        <v>351</v>
      </c>
    </row>
    <row r="34" ht="15.75" customHeight="1">
      <c r="A34" s="21">
        <v>15.0</v>
      </c>
      <c r="B34" s="9" t="s">
        <v>380</v>
      </c>
      <c r="C34" s="21" t="s">
        <v>381</v>
      </c>
      <c r="D34" s="27" t="s">
        <v>351</v>
      </c>
      <c r="E34" s="26" t="s">
        <v>352</v>
      </c>
      <c r="F34" s="26" t="s">
        <v>352</v>
      </c>
      <c r="G34" s="27" t="s">
        <v>351</v>
      </c>
      <c r="H34" s="27" t="s">
        <v>351</v>
      </c>
      <c r="I34" s="27" t="s">
        <v>351</v>
      </c>
    </row>
    <row r="35" ht="15.75" customHeight="1">
      <c r="A35" s="21">
        <v>16.0</v>
      </c>
      <c r="B35" s="9" t="s">
        <v>382</v>
      </c>
      <c r="C35" s="21" t="s">
        <v>383</v>
      </c>
      <c r="D35" s="27" t="s">
        <v>351</v>
      </c>
      <c r="E35" s="27" t="s">
        <v>351</v>
      </c>
      <c r="F35" s="28" t="s">
        <v>361</v>
      </c>
      <c r="G35" s="27" t="s">
        <v>351</v>
      </c>
      <c r="H35" s="27" t="s">
        <v>351</v>
      </c>
      <c r="I35" s="27" t="s">
        <v>351</v>
      </c>
    </row>
    <row r="36" ht="15.75" customHeight="1">
      <c r="A36" s="21">
        <v>17.0</v>
      </c>
      <c r="B36" s="9" t="s">
        <v>384</v>
      </c>
      <c r="C36" s="21" t="s">
        <v>385</v>
      </c>
      <c r="D36" s="27" t="s">
        <v>351</v>
      </c>
      <c r="E36" s="28" t="s">
        <v>361</v>
      </c>
      <c r="F36" s="28" t="s">
        <v>361</v>
      </c>
      <c r="G36" s="27" t="s">
        <v>351</v>
      </c>
      <c r="H36" s="29" t="s">
        <v>386</v>
      </c>
      <c r="I36" s="29" t="s">
        <v>386</v>
      </c>
    </row>
    <row r="37" ht="15.75" customHeight="1">
      <c r="A37" s="21">
        <v>18.0</v>
      </c>
      <c r="B37" s="9" t="s">
        <v>387</v>
      </c>
      <c r="C37" s="21" t="s">
        <v>388</v>
      </c>
      <c r="D37" s="27" t="s">
        <v>351</v>
      </c>
      <c r="E37" s="28" t="s">
        <v>361</v>
      </c>
      <c r="F37" s="28" t="s">
        <v>361</v>
      </c>
      <c r="G37" s="27" t="s">
        <v>351</v>
      </c>
      <c r="H37" s="27" t="s">
        <v>351</v>
      </c>
      <c r="I37" s="27" t="s">
        <v>351</v>
      </c>
    </row>
    <row r="38" ht="15.75" customHeight="1">
      <c r="A38" s="21">
        <v>19.0</v>
      </c>
      <c r="B38" s="9" t="s">
        <v>389</v>
      </c>
      <c r="C38" s="21" t="s">
        <v>390</v>
      </c>
      <c r="D38" s="27" t="s">
        <v>351</v>
      </c>
      <c r="E38" s="27" t="s">
        <v>351</v>
      </c>
      <c r="F38" s="28" t="s">
        <v>361</v>
      </c>
      <c r="G38" s="26" t="s">
        <v>352</v>
      </c>
      <c r="H38" s="27" t="s">
        <v>351</v>
      </c>
      <c r="I38" s="27" t="s">
        <v>351</v>
      </c>
    </row>
    <row r="39" ht="15.75" customHeight="1">
      <c r="A39" s="21">
        <v>20.0</v>
      </c>
      <c r="B39" s="9" t="s">
        <v>391</v>
      </c>
      <c r="C39" s="21" t="s">
        <v>392</v>
      </c>
      <c r="D39" s="27" t="s">
        <v>351</v>
      </c>
      <c r="E39" s="28" t="s">
        <v>361</v>
      </c>
      <c r="F39" s="28" t="s">
        <v>361</v>
      </c>
      <c r="G39" s="26" t="s">
        <v>393</v>
      </c>
      <c r="H39" s="26" t="s">
        <v>352</v>
      </c>
      <c r="I39" s="26" t="s">
        <v>352</v>
      </c>
    </row>
    <row r="40" ht="15.75" customHeight="1">
      <c r="A40" s="21">
        <v>21.0</v>
      </c>
      <c r="B40" s="9" t="s">
        <v>394</v>
      </c>
      <c r="C40" s="21" t="s">
        <v>395</v>
      </c>
      <c r="D40" s="27" t="s">
        <v>351</v>
      </c>
      <c r="E40" s="28" t="s">
        <v>361</v>
      </c>
      <c r="F40" s="28" t="s">
        <v>361</v>
      </c>
      <c r="G40" s="27" t="s">
        <v>351</v>
      </c>
      <c r="H40" s="27" t="s">
        <v>351</v>
      </c>
      <c r="I40" s="27" t="s">
        <v>351</v>
      </c>
    </row>
    <row r="41" ht="15.75" customHeight="1">
      <c r="A41" s="21">
        <v>22.0</v>
      </c>
      <c r="B41" s="9" t="s">
        <v>396</v>
      </c>
      <c r="C41" s="21" t="s">
        <v>397</v>
      </c>
      <c r="D41" s="27" t="s">
        <v>351</v>
      </c>
      <c r="E41" s="28" t="s">
        <v>361</v>
      </c>
      <c r="F41" s="28" t="s">
        <v>361</v>
      </c>
      <c r="G41" s="27" t="s">
        <v>351</v>
      </c>
      <c r="H41" s="27" t="s">
        <v>351</v>
      </c>
      <c r="I41" s="29" t="s">
        <v>386</v>
      </c>
    </row>
    <row r="42" ht="15.75" customHeight="1">
      <c r="A42" s="21">
        <v>23.0</v>
      </c>
      <c r="B42" s="9" t="s">
        <v>398</v>
      </c>
      <c r="C42" s="21" t="s">
        <v>399</v>
      </c>
      <c r="D42" s="27" t="s">
        <v>351</v>
      </c>
      <c r="E42" s="28" t="s">
        <v>361</v>
      </c>
      <c r="F42" s="27" t="s">
        <v>351</v>
      </c>
      <c r="G42" s="27" t="s">
        <v>351</v>
      </c>
      <c r="H42" s="27" t="s">
        <v>351</v>
      </c>
      <c r="I42" s="27" t="s">
        <v>351</v>
      </c>
    </row>
    <row r="43" ht="15.75" customHeight="1">
      <c r="A43" s="21">
        <v>24.0</v>
      </c>
      <c r="B43" s="9" t="s">
        <v>400</v>
      </c>
      <c r="C43" s="21" t="s">
        <v>401</v>
      </c>
      <c r="D43" s="27" t="s">
        <v>351</v>
      </c>
      <c r="E43" s="28" t="s">
        <v>361</v>
      </c>
      <c r="F43" s="28" t="s">
        <v>361</v>
      </c>
      <c r="G43" s="27" t="s">
        <v>351</v>
      </c>
      <c r="H43" s="27" t="s">
        <v>351</v>
      </c>
      <c r="I43" s="27" t="s">
        <v>351</v>
      </c>
    </row>
    <row r="44" ht="15.75" customHeight="1">
      <c r="A44" s="21">
        <v>25.0</v>
      </c>
      <c r="B44" s="9" t="s">
        <v>402</v>
      </c>
      <c r="C44" s="21" t="s">
        <v>342</v>
      </c>
      <c r="D44" s="27" t="s">
        <v>351</v>
      </c>
      <c r="E44" s="27" t="s">
        <v>351</v>
      </c>
      <c r="F44" s="27" t="s">
        <v>351</v>
      </c>
      <c r="G44" s="27" t="s">
        <v>351</v>
      </c>
      <c r="H44" s="27" t="s">
        <v>351</v>
      </c>
      <c r="I44" s="26" t="s">
        <v>352</v>
      </c>
    </row>
    <row r="45" ht="15.75" customHeight="1">
      <c r="A45" s="21">
        <v>26.0</v>
      </c>
      <c r="B45" s="9" t="s">
        <v>403</v>
      </c>
      <c r="C45" s="21" t="s">
        <v>404</v>
      </c>
      <c r="D45" s="27" t="s">
        <v>351</v>
      </c>
      <c r="E45" s="27" t="s">
        <v>351</v>
      </c>
      <c r="F45" s="27" t="s">
        <v>351</v>
      </c>
      <c r="G45" s="27" t="s">
        <v>351</v>
      </c>
      <c r="H45" s="27" t="s">
        <v>351</v>
      </c>
      <c r="I45" s="26" t="s">
        <v>352</v>
      </c>
    </row>
    <row r="46" ht="15.75" customHeight="1">
      <c r="A46" s="21">
        <v>27.0</v>
      </c>
      <c r="B46" s="9" t="s">
        <v>405</v>
      </c>
      <c r="C46" s="21" t="s">
        <v>406</v>
      </c>
      <c r="D46" s="27" t="s">
        <v>351</v>
      </c>
      <c r="E46" s="28" t="s">
        <v>361</v>
      </c>
      <c r="F46" s="27" t="s">
        <v>351</v>
      </c>
      <c r="G46" s="27" t="s">
        <v>351</v>
      </c>
      <c r="H46" s="27" t="s">
        <v>351</v>
      </c>
      <c r="I46" s="27" t="s">
        <v>351</v>
      </c>
    </row>
    <row r="47" ht="15.75" customHeight="1">
      <c r="A47" s="21">
        <v>28.0</v>
      </c>
      <c r="B47" s="9" t="s">
        <v>407</v>
      </c>
      <c r="C47" s="21" t="s">
        <v>408</v>
      </c>
      <c r="D47" s="27" t="s">
        <v>351</v>
      </c>
      <c r="E47" s="27" t="s">
        <v>351</v>
      </c>
      <c r="F47" s="27" t="s">
        <v>351</v>
      </c>
      <c r="G47" s="27" t="s">
        <v>351</v>
      </c>
      <c r="H47" s="27" t="s">
        <v>351</v>
      </c>
      <c r="I47" s="26" t="s">
        <v>352</v>
      </c>
    </row>
    <row r="48" ht="15.75" customHeight="1">
      <c r="A48" s="21">
        <v>29.0</v>
      </c>
      <c r="B48" s="9" t="s">
        <v>409</v>
      </c>
      <c r="C48" s="21" t="s">
        <v>410</v>
      </c>
      <c r="D48" s="27" t="s">
        <v>351</v>
      </c>
      <c r="E48" s="27" t="s">
        <v>351</v>
      </c>
      <c r="F48" s="27" t="s">
        <v>351</v>
      </c>
      <c r="G48" s="27" t="s">
        <v>351</v>
      </c>
      <c r="H48" s="27" t="s">
        <v>351</v>
      </c>
      <c r="I48" s="26" t="s">
        <v>352</v>
      </c>
    </row>
    <row r="49" ht="15.75" customHeight="1">
      <c r="A49" s="21">
        <v>30.0</v>
      </c>
      <c r="B49" s="9" t="s">
        <v>411</v>
      </c>
      <c r="C49" s="21" t="s">
        <v>412</v>
      </c>
      <c r="D49" s="27" t="s">
        <v>351</v>
      </c>
      <c r="E49" s="28" t="s">
        <v>361</v>
      </c>
      <c r="F49" s="28" t="s">
        <v>361</v>
      </c>
      <c r="G49" s="27" t="s">
        <v>351</v>
      </c>
      <c r="H49" s="27" t="s">
        <v>351</v>
      </c>
      <c r="I49" s="27" t="s">
        <v>351</v>
      </c>
    </row>
    <row r="50" ht="15.75" customHeight="1">
      <c r="A50" s="21">
        <v>31.0</v>
      </c>
      <c r="B50" s="9" t="s">
        <v>413</v>
      </c>
      <c r="C50" s="21" t="s">
        <v>414</v>
      </c>
      <c r="D50" s="27" t="s">
        <v>351</v>
      </c>
      <c r="E50" s="26" t="s">
        <v>352</v>
      </c>
      <c r="F50" s="26" t="s">
        <v>352</v>
      </c>
      <c r="G50" s="27" t="s">
        <v>351</v>
      </c>
      <c r="H50" s="26" t="s">
        <v>352</v>
      </c>
      <c r="I50" s="26" t="s">
        <v>352</v>
      </c>
    </row>
    <row r="51" ht="15.75" customHeight="1">
      <c r="A51" s="21">
        <v>32.0</v>
      </c>
      <c r="B51" s="9" t="s">
        <v>415</v>
      </c>
      <c r="C51" s="21" t="s">
        <v>416</v>
      </c>
      <c r="D51" s="27" t="s">
        <v>351</v>
      </c>
      <c r="E51" s="28" t="s">
        <v>361</v>
      </c>
      <c r="F51" s="28" t="s">
        <v>361</v>
      </c>
      <c r="G51" s="27" t="s">
        <v>351</v>
      </c>
      <c r="H51" s="27" t="s">
        <v>351</v>
      </c>
      <c r="I51" s="27" t="s">
        <v>351</v>
      </c>
    </row>
    <row r="52" ht="15.75" customHeight="1">
      <c r="A52" s="21">
        <v>33.0</v>
      </c>
      <c r="B52" s="9" t="s">
        <v>417</v>
      </c>
      <c r="C52" s="21" t="s">
        <v>418</v>
      </c>
      <c r="D52" s="27" t="s">
        <v>351</v>
      </c>
      <c r="E52" s="27" t="s">
        <v>351</v>
      </c>
      <c r="F52" s="27" t="s">
        <v>351</v>
      </c>
      <c r="G52" s="27" t="s">
        <v>351</v>
      </c>
      <c r="H52" s="26" t="s">
        <v>352</v>
      </c>
      <c r="I52" s="26" t="s">
        <v>352</v>
      </c>
    </row>
    <row r="53" ht="15.75" customHeight="1">
      <c r="A53" s="21">
        <v>34.0</v>
      </c>
      <c r="B53" s="9" t="s">
        <v>419</v>
      </c>
      <c r="C53" s="21" t="s">
        <v>420</v>
      </c>
      <c r="D53" s="27" t="s">
        <v>351</v>
      </c>
      <c r="E53" s="27" t="s">
        <v>351</v>
      </c>
      <c r="F53" s="27" t="s">
        <v>351</v>
      </c>
      <c r="G53" s="27" t="s">
        <v>351</v>
      </c>
      <c r="H53" s="27" t="s">
        <v>351</v>
      </c>
      <c r="I53" s="26" t="s">
        <v>352</v>
      </c>
    </row>
    <row r="54" ht="15.75" customHeight="1">
      <c r="A54" s="21">
        <v>35.0</v>
      </c>
      <c r="B54" s="9" t="s">
        <v>421</v>
      </c>
      <c r="C54" s="21" t="s">
        <v>422</v>
      </c>
      <c r="D54" s="27" t="s">
        <v>351</v>
      </c>
      <c r="E54" s="28" t="s">
        <v>361</v>
      </c>
      <c r="F54" s="28" t="s">
        <v>361</v>
      </c>
      <c r="G54" s="26" t="s">
        <v>423</v>
      </c>
      <c r="H54" s="27" t="s">
        <v>351</v>
      </c>
      <c r="I54" s="28" t="s">
        <v>361</v>
      </c>
    </row>
    <row r="55" ht="15.75" customHeight="1">
      <c r="A55" s="21">
        <v>36.0</v>
      </c>
      <c r="B55" s="9" t="s">
        <v>424</v>
      </c>
      <c r="C55" s="21" t="s">
        <v>425</v>
      </c>
      <c r="D55" s="27" t="s">
        <v>351</v>
      </c>
      <c r="E55" s="27" t="s">
        <v>351</v>
      </c>
      <c r="F55" s="27" t="s">
        <v>351</v>
      </c>
      <c r="G55" s="27" t="s">
        <v>351</v>
      </c>
      <c r="H55" s="26" t="s">
        <v>352</v>
      </c>
      <c r="I55" s="26" t="s">
        <v>352</v>
      </c>
    </row>
    <row r="56" ht="15.75" customHeight="1">
      <c r="A56" s="21">
        <v>37.0</v>
      </c>
      <c r="B56" s="9" t="s">
        <v>426</v>
      </c>
      <c r="C56" s="21" t="s">
        <v>427</v>
      </c>
      <c r="D56" s="27" t="s">
        <v>351</v>
      </c>
      <c r="E56" s="26" t="s">
        <v>352</v>
      </c>
      <c r="F56" s="26" t="s">
        <v>352</v>
      </c>
      <c r="G56" s="26" t="s">
        <v>393</v>
      </c>
      <c r="H56" s="27" t="s">
        <v>351</v>
      </c>
      <c r="I56" s="27" t="s">
        <v>351</v>
      </c>
    </row>
    <row r="57" ht="15.75" customHeight="1">
      <c r="A57" s="21">
        <v>38.0</v>
      </c>
      <c r="B57" s="9" t="s">
        <v>428</v>
      </c>
      <c r="C57" s="21" t="s">
        <v>429</v>
      </c>
      <c r="D57" s="27" t="s">
        <v>351</v>
      </c>
      <c r="E57" s="27" t="s">
        <v>351</v>
      </c>
      <c r="F57" s="27" t="s">
        <v>351</v>
      </c>
      <c r="G57" s="27" t="s">
        <v>351</v>
      </c>
      <c r="H57" s="29" t="s">
        <v>430</v>
      </c>
      <c r="I57" s="26" t="s">
        <v>352</v>
      </c>
    </row>
    <row r="58" ht="15.75" customHeight="1">
      <c r="A58" s="21">
        <v>39.0</v>
      </c>
      <c r="B58" s="9" t="s">
        <v>431</v>
      </c>
      <c r="C58" s="21" t="s">
        <v>432</v>
      </c>
      <c r="D58" s="27" t="s">
        <v>351</v>
      </c>
      <c r="E58" s="27" t="s">
        <v>351</v>
      </c>
      <c r="F58" s="27" t="s">
        <v>351</v>
      </c>
      <c r="G58" s="27" t="s">
        <v>351</v>
      </c>
      <c r="H58" s="29" t="s">
        <v>386</v>
      </c>
      <c r="I58" s="26" t="s">
        <v>352</v>
      </c>
    </row>
    <row r="59" ht="15.75" customHeight="1">
      <c r="A59" s="21">
        <v>40.0</v>
      </c>
      <c r="B59" s="9" t="s">
        <v>433</v>
      </c>
      <c r="C59" s="21" t="s">
        <v>434</v>
      </c>
      <c r="D59" s="27" t="s">
        <v>351</v>
      </c>
      <c r="E59" s="27" t="s">
        <v>351</v>
      </c>
      <c r="F59" s="27" t="s">
        <v>351</v>
      </c>
      <c r="G59" s="27" t="s">
        <v>351</v>
      </c>
      <c r="H59" s="29" t="s">
        <v>430</v>
      </c>
      <c r="I59" s="26" t="s">
        <v>352</v>
      </c>
    </row>
    <row r="60" ht="15.75" customHeight="1">
      <c r="A60" s="21">
        <v>41.0</v>
      </c>
      <c r="B60" s="9" t="s">
        <v>435</v>
      </c>
      <c r="C60" s="21" t="s">
        <v>436</v>
      </c>
      <c r="D60" s="27" t="s">
        <v>351</v>
      </c>
      <c r="E60" s="27" t="s">
        <v>351</v>
      </c>
      <c r="F60" s="27" t="s">
        <v>351</v>
      </c>
      <c r="G60" s="27" t="s">
        <v>351</v>
      </c>
      <c r="H60" s="29" t="s">
        <v>386</v>
      </c>
      <c r="I60" s="26" t="s">
        <v>352</v>
      </c>
    </row>
    <row r="61" ht="15.75" customHeight="1">
      <c r="A61" s="21">
        <v>42.0</v>
      </c>
      <c r="B61" s="9" t="s">
        <v>437</v>
      </c>
      <c r="C61" s="21" t="s">
        <v>438</v>
      </c>
      <c r="D61" s="27" t="s">
        <v>351</v>
      </c>
      <c r="E61" s="27" t="s">
        <v>351</v>
      </c>
      <c r="F61" s="27" t="s">
        <v>351</v>
      </c>
      <c r="G61" s="27" t="s">
        <v>351</v>
      </c>
      <c r="H61" s="27" t="s">
        <v>351</v>
      </c>
      <c r="I61" s="26" t="s">
        <v>352</v>
      </c>
    </row>
    <row r="62" ht="15.75" customHeight="1">
      <c r="A62" s="21">
        <v>43.0</v>
      </c>
      <c r="B62" s="9" t="s">
        <v>439</v>
      </c>
      <c r="C62" s="21" t="s">
        <v>440</v>
      </c>
      <c r="D62" s="27" t="s">
        <v>351</v>
      </c>
      <c r="E62" s="27" t="s">
        <v>351</v>
      </c>
      <c r="F62" s="28" t="s">
        <v>361</v>
      </c>
      <c r="G62" s="27" t="s">
        <v>351</v>
      </c>
      <c r="H62" s="27" t="s">
        <v>351</v>
      </c>
      <c r="I62" s="26" t="s">
        <v>352</v>
      </c>
    </row>
    <row r="63" ht="15.75" customHeight="1">
      <c r="A63" s="21">
        <v>44.0</v>
      </c>
      <c r="B63" s="9" t="s">
        <v>441</v>
      </c>
      <c r="C63" s="21" t="s">
        <v>442</v>
      </c>
      <c r="D63" s="27" t="s">
        <v>351</v>
      </c>
      <c r="E63" s="28" t="s">
        <v>361</v>
      </c>
      <c r="F63" s="28" t="s">
        <v>361</v>
      </c>
      <c r="G63" s="27" t="s">
        <v>351</v>
      </c>
      <c r="H63" s="27" t="s">
        <v>351</v>
      </c>
      <c r="I63" s="27" t="s">
        <v>351</v>
      </c>
    </row>
    <row r="64" ht="15.75" customHeight="1">
      <c r="A64" s="21">
        <v>45.0</v>
      </c>
      <c r="B64" s="9" t="s">
        <v>443</v>
      </c>
      <c r="C64" s="21" t="s">
        <v>444</v>
      </c>
      <c r="D64" s="27" t="s">
        <v>351</v>
      </c>
      <c r="E64" s="27" t="s">
        <v>351</v>
      </c>
      <c r="F64" s="27" t="s">
        <v>351</v>
      </c>
      <c r="G64" s="27" t="s">
        <v>351</v>
      </c>
      <c r="H64" s="27" t="s">
        <v>351</v>
      </c>
      <c r="I64" s="26" t="s">
        <v>352</v>
      </c>
    </row>
    <row r="65" ht="15.75" customHeight="1"/>
    <row r="66" ht="15.75" customHeight="1">
      <c r="B66" s="30" t="s">
        <v>445</v>
      </c>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F7:G7"/>
    <mergeCell ref="H7:I7"/>
    <mergeCell ref="D5:E5"/>
    <mergeCell ref="F5:G5"/>
    <mergeCell ref="H5:I5"/>
    <mergeCell ref="D6:E6"/>
    <mergeCell ref="F6:G6"/>
    <mergeCell ref="H6:I6"/>
    <mergeCell ref="D7:E7"/>
    <mergeCell ref="F10:G10"/>
    <mergeCell ref="H10:I10"/>
    <mergeCell ref="D8:E8"/>
    <mergeCell ref="F8:G8"/>
    <mergeCell ref="H8:I8"/>
    <mergeCell ref="D9:E9"/>
    <mergeCell ref="F9:G9"/>
    <mergeCell ref="H9:I9"/>
    <mergeCell ref="D10:E10"/>
    <mergeCell ref="F13:G13"/>
    <mergeCell ref="H13:I13"/>
    <mergeCell ref="D11:E11"/>
    <mergeCell ref="F11:G11"/>
    <mergeCell ref="H11:I11"/>
    <mergeCell ref="D12:E12"/>
    <mergeCell ref="F12:G12"/>
    <mergeCell ref="H12:I12"/>
    <mergeCell ref="D13:E13"/>
    <mergeCell ref="F16:G16"/>
    <mergeCell ref="H16:I16"/>
    <mergeCell ref="D14:E14"/>
    <mergeCell ref="F14:G14"/>
    <mergeCell ref="H14:I14"/>
    <mergeCell ref="D15:E15"/>
    <mergeCell ref="F15:G15"/>
    <mergeCell ref="H15:I15"/>
    <mergeCell ref="D16:E16"/>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11.0"/>
    <col customWidth="1" min="2" max="2" width="17.0"/>
    <col customWidth="1" min="3" max="3" width="8.0"/>
    <col customWidth="1" min="4" max="4" width="30.0"/>
    <col customWidth="1" min="5" max="5" width="72.0"/>
    <col customWidth="1" min="6" max="6" width="14.0"/>
    <col customWidth="1" min="7" max="7" width="16.0"/>
    <col customWidth="1" min="8" max="8" width="9.0"/>
    <col customWidth="1" min="9" max="9" width="8.0"/>
    <col customWidth="1" min="10" max="10" width="48.0"/>
    <col customWidth="1" min="11" max="11" width="15.0"/>
    <col customWidth="1" min="12" max="12" width="18.0"/>
    <col customWidth="1" min="13" max="13" width="11.0"/>
    <col customWidth="1" min="14" max="26" width="8.71"/>
  </cols>
  <sheetData>
    <row r="1" ht="25.5" customHeight="1">
      <c r="A1" s="1" t="s">
        <v>446</v>
      </c>
    </row>
    <row r="2">
      <c r="A2" s="2" t="s">
        <v>447</v>
      </c>
    </row>
    <row r="4" ht="33.75" customHeight="1">
      <c r="A4" s="8" t="s">
        <v>100</v>
      </c>
      <c r="B4" s="8" t="s">
        <v>448</v>
      </c>
      <c r="C4" s="8" t="s">
        <v>449</v>
      </c>
      <c r="D4" s="8" t="s">
        <v>450</v>
      </c>
      <c r="E4" s="8" t="s">
        <v>451</v>
      </c>
      <c r="F4" s="8" t="s">
        <v>452</v>
      </c>
      <c r="G4" s="8" t="s">
        <v>453</v>
      </c>
      <c r="H4" s="8" t="s">
        <v>454</v>
      </c>
      <c r="I4" s="8" t="s">
        <v>455</v>
      </c>
      <c r="J4" s="8" t="s">
        <v>456</v>
      </c>
      <c r="K4" s="8" t="s">
        <v>457</v>
      </c>
      <c r="L4" s="8" t="s">
        <v>458</v>
      </c>
      <c r="M4" s="8" t="s">
        <v>11</v>
      </c>
    </row>
    <row r="5">
      <c r="A5" s="31" t="s">
        <v>459</v>
      </c>
      <c r="B5" s="32" t="s">
        <v>460</v>
      </c>
      <c r="C5" s="21" t="s">
        <v>115</v>
      </c>
      <c r="D5" s="9" t="s">
        <v>461</v>
      </c>
      <c r="E5" s="9" t="s">
        <v>462</v>
      </c>
      <c r="F5" s="9" t="s">
        <v>347</v>
      </c>
      <c r="G5" s="9" t="s">
        <v>287</v>
      </c>
      <c r="H5" s="21" t="s">
        <v>463</v>
      </c>
      <c r="I5" s="21" t="s">
        <v>464</v>
      </c>
      <c r="J5" s="9" t="s">
        <v>465</v>
      </c>
      <c r="K5" s="9"/>
      <c r="L5" s="9" t="s">
        <v>466</v>
      </c>
      <c r="M5" s="21" t="s">
        <v>467</v>
      </c>
    </row>
    <row r="6">
      <c r="A6" s="31" t="s">
        <v>468</v>
      </c>
      <c r="B6" s="32" t="s">
        <v>460</v>
      </c>
      <c r="C6" s="21" t="s">
        <v>115</v>
      </c>
      <c r="D6" s="9" t="s">
        <v>469</v>
      </c>
      <c r="E6" s="9" t="s">
        <v>470</v>
      </c>
      <c r="F6" s="9" t="s">
        <v>284</v>
      </c>
      <c r="G6" s="9" t="s">
        <v>471</v>
      </c>
      <c r="H6" s="21" t="s">
        <v>463</v>
      </c>
      <c r="I6" s="21" t="s">
        <v>464</v>
      </c>
      <c r="J6" s="9" t="s">
        <v>472</v>
      </c>
      <c r="K6" s="9"/>
      <c r="L6" s="9" t="s">
        <v>466</v>
      </c>
      <c r="M6" s="21" t="s">
        <v>467</v>
      </c>
    </row>
    <row r="7">
      <c r="A7" s="31" t="s">
        <v>473</v>
      </c>
      <c r="B7" s="32" t="s">
        <v>460</v>
      </c>
      <c r="C7" s="21" t="s">
        <v>115</v>
      </c>
      <c r="D7" s="9" t="s">
        <v>474</v>
      </c>
      <c r="E7" s="9" t="s">
        <v>475</v>
      </c>
      <c r="F7" s="9" t="s">
        <v>284</v>
      </c>
      <c r="G7" s="9" t="s">
        <v>476</v>
      </c>
      <c r="H7" s="21" t="s">
        <v>463</v>
      </c>
      <c r="I7" s="21" t="s">
        <v>464</v>
      </c>
      <c r="J7" s="9" t="s">
        <v>477</v>
      </c>
      <c r="K7" s="9"/>
      <c r="L7" s="9" t="s">
        <v>466</v>
      </c>
      <c r="M7" s="21" t="s">
        <v>467</v>
      </c>
    </row>
    <row r="8">
      <c r="A8" s="31" t="s">
        <v>478</v>
      </c>
      <c r="B8" s="32" t="s">
        <v>460</v>
      </c>
      <c r="C8" s="21" t="s">
        <v>115</v>
      </c>
      <c r="D8" s="9" t="s">
        <v>479</v>
      </c>
      <c r="E8" s="9" t="s">
        <v>480</v>
      </c>
      <c r="F8" s="9" t="s">
        <v>284</v>
      </c>
      <c r="G8" s="9" t="s">
        <v>481</v>
      </c>
      <c r="H8" s="21" t="s">
        <v>482</v>
      </c>
      <c r="I8" s="21" t="s">
        <v>483</v>
      </c>
      <c r="J8" s="9" t="s">
        <v>484</v>
      </c>
      <c r="K8" s="9"/>
      <c r="L8" s="9" t="s">
        <v>466</v>
      </c>
      <c r="M8" s="21" t="s">
        <v>467</v>
      </c>
    </row>
    <row r="9">
      <c r="A9" s="31" t="s">
        <v>485</v>
      </c>
      <c r="B9" s="32" t="s">
        <v>460</v>
      </c>
      <c r="C9" s="21" t="s">
        <v>115</v>
      </c>
      <c r="D9" s="9" t="s">
        <v>486</v>
      </c>
      <c r="E9" s="9" t="s">
        <v>487</v>
      </c>
      <c r="F9" s="9" t="s">
        <v>284</v>
      </c>
      <c r="G9" s="9" t="s">
        <v>488</v>
      </c>
      <c r="H9" s="21" t="s">
        <v>463</v>
      </c>
      <c r="I9" s="21" t="s">
        <v>464</v>
      </c>
      <c r="J9" s="9" t="s">
        <v>489</v>
      </c>
      <c r="K9" s="9"/>
      <c r="L9" s="9" t="s">
        <v>466</v>
      </c>
      <c r="M9" s="21" t="s">
        <v>467</v>
      </c>
    </row>
    <row r="10">
      <c r="A10" s="31" t="s">
        <v>490</v>
      </c>
      <c r="B10" s="32" t="s">
        <v>460</v>
      </c>
      <c r="C10" s="21" t="s">
        <v>115</v>
      </c>
      <c r="D10" s="9" t="s">
        <v>491</v>
      </c>
      <c r="E10" s="9" t="s">
        <v>492</v>
      </c>
      <c r="F10" s="9" t="s">
        <v>284</v>
      </c>
      <c r="G10" s="9" t="s">
        <v>493</v>
      </c>
      <c r="H10" s="21" t="s">
        <v>463</v>
      </c>
      <c r="I10" s="21" t="s">
        <v>464</v>
      </c>
      <c r="J10" s="9" t="s">
        <v>494</v>
      </c>
      <c r="K10" s="9"/>
      <c r="L10" s="9" t="s">
        <v>466</v>
      </c>
      <c r="M10" s="21" t="s">
        <v>467</v>
      </c>
    </row>
    <row r="11">
      <c r="A11" s="31" t="s">
        <v>495</v>
      </c>
      <c r="B11" s="32" t="s">
        <v>460</v>
      </c>
      <c r="C11" s="21" t="s">
        <v>115</v>
      </c>
      <c r="D11" s="9" t="s">
        <v>496</v>
      </c>
      <c r="E11" s="9" t="s">
        <v>497</v>
      </c>
      <c r="F11" s="9" t="s">
        <v>284</v>
      </c>
      <c r="G11" s="9" t="s">
        <v>498</v>
      </c>
      <c r="H11" s="21" t="s">
        <v>463</v>
      </c>
      <c r="I11" s="21" t="s">
        <v>464</v>
      </c>
      <c r="J11" s="9" t="s">
        <v>499</v>
      </c>
      <c r="K11" s="9"/>
      <c r="L11" s="9" t="s">
        <v>466</v>
      </c>
      <c r="M11" s="21" t="s">
        <v>467</v>
      </c>
    </row>
    <row r="12">
      <c r="A12" s="31" t="s">
        <v>500</v>
      </c>
      <c r="B12" s="32" t="s">
        <v>460</v>
      </c>
      <c r="C12" s="21" t="s">
        <v>117</v>
      </c>
      <c r="D12" s="9" t="s">
        <v>501</v>
      </c>
      <c r="E12" s="9" t="s">
        <v>502</v>
      </c>
      <c r="F12" s="9" t="s">
        <v>284</v>
      </c>
      <c r="G12" s="9" t="s">
        <v>360</v>
      </c>
      <c r="H12" s="21" t="s">
        <v>463</v>
      </c>
      <c r="I12" s="21" t="s">
        <v>464</v>
      </c>
      <c r="J12" s="9" t="s">
        <v>503</v>
      </c>
      <c r="K12" s="9"/>
      <c r="L12" s="9" t="s">
        <v>466</v>
      </c>
      <c r="M12" s="21" t="s">
        <v>467</v>
      </c>
    </row>
    <row r="13">
      <c r="A13" s="31" t="s">
        <v>504</v>
      </c>
      <c r="B13" s="32" t="s">
        <v>460</v>
      </c>
      <c r="C13" s="21" t="s">
        <v>117</v>
      </c>
      <c r="D13" s="9" t="s">
        <v>505</v>
      </c>
      <c r="E13" s="9" t="s">
        <v>506</v>
      </c>
      <c r="F13" s="9" t="s">
        <v>215</v>
      </c>
      <c r="G13" s="9" t="s">
        <v>507</v>
      </c>
      <c r="H13" s="21" t="s">
        <v>463</v>
      </c>
      <c r="I13" s="21" t="s">
        <v>464</v>
      </c>
      <c r="J13" s="9" t="s">
        <v>508</v>
      </c>
      <c r="K13" s="9"/>
      <c r="L13" s="9" t="s">
        <v>466</v>
      </c>
      <c r="M13" s="21" t="s">
        <v>467</v>
      </c>
    </row>
    <row r="14">
      <c r="A14" s="31" t="s">
        <v>509</v>
      </c>
      <c r="B14" s="32" t="s">
        <v>460</v>
      </c>
      <c r="C14" s="21" t="s">
        <v>117</v>
      </c>
      <c r="D14" s="9" t="s">
        <v>510</v>
      </c>
      <c r="E14" s="9" t="s">
        <v>511</v>
      </c>
      <c r="F14" s="9" t="s">
        <v>284</v>
      </c>
      <c r="G14" s="9" t="s">
        <v>363</v>
      </c>
      <c r="H14" s="21" t="s">
        <v>463</v>
      </c>
      <c r="I14" s="21" t="s">
        <v>464</v>
      </c>
      <c r="J14" s="9" t="s">
        <v>512</v>
      </c>
      <c r="K14" s="9"/>
      <c r="L14" s="9" t="s">
        <v>466</v>
      </c>
      <c r="M14" s="21" t="s">
        <v>467</v>
      </c>
    </row>
    <row r="15">
      <c r="A15" s="31" t="s">
        <v>513</v>
      </c>
      <c r="B15" s="32" t="s">
        <v>460</v>
      </c>
      <c r="C15" s="21" t="s">
        <v>117</v>
      </c>
      <c r="D15" s="9" t="s">
        <v>514</v>
      </c>
      <c r="E15" s="9" t="s">
        <v>515</v>
      </c>
      <c r="F15" s="9" t="s">
        <v>348</v>
      </c>
      <c r="G15" s="9" t="s">
        <v>365</v>
      </c>
      <c r="H15" s="21" t="s">
        <v>463</v>
      </c>
      <c r="I15" s="21" t="s">
        <v>464</v>
      </c>
      <c r="J15" s="9" t="s">
        <v>516</v>
      </c>
      <c r="K15" s="9"/>
      <c r="L15" s="9" t="s">
        <v>466</v>
      </c>
      <c r="M15" s="21" t="s">
        <v>467</v>
      </c>
    </row>
    <row r="16">
      <c r="A16" s="31" t="s">
        <v>517</v>
      </c>
      <c r="B16" s="32" t="s">
        <v>460</v>
      </c>
      <c r="C16" s="21" t="s">
        <v>117</v>
      </c>
      <c r="D16" s="9" t="s">
        <v>366</v>
      </c>
      <c r="E16" s="9" t="s">
        <v>518</v>
      </c>
      <c r="F16" s="9" t="s">
        <v>284</v>
      </c>
      <c r="G16" s="9" t="s">
        <v>367</v>
      </c>
      <c r="H16" s="21" t="s">
        <v>463</v>
      </c>
      <c r="I16" s="21" t="s">
        <v>464</v>
      </c>
      <c r="J16" s="9" t="s">
        <v>519</v>
      </c>
      <c r="K16" s="9"/>
      <c r="L16" s="9" t="s">
        <v>466</v>
      </c>
      <c r="M16" s="21" t="s">
        <v>467</v>
      </c>
    </row>
    <row r="17">
      <c r="A17" s="31" t="s">
        <v>520</v>
      </c>
      <c r="B17" s="32" t="s">
        <v>460</v>
      </c>
      <c r="C17" s="21" t="s">
        <v>117</v>
      </c>
      <c r="D17" s="9" t="s">
        <v>521</v>
      </c>
      <c r="E17" s="9" t="s">
        <v>522</v>
      </c>
      <c r="F17" s="9" t="s">
        <v>284</v>
      </c>
      <c r="G17" s="9" t="s">
        <v>367</v>
      </c>
      <c r="H17" s="21" t="s">
        <v>463</v>
      </c>
      <c r="I17" s="21" t="s">
        <v>464</v>
      </c>
      <c r="J17" s="9" t="s">
        <v>523</v>
      </c>
      <c r="K17" s="9"/>
      <c r="L17" s="9" t="s">
        <v>466</v>
      </c>
      <c r="M17" s="21" t="s">
        <v>467</v>
      </c>
    </row>
    <row r="18">
      <c r="A18" s="31" t="s">
        <v>524</v>
      </c>
      <c r="B18" s="32" t="s">
        <v>460</v>
      </c>
      <c r="C18" s="21" t="s">
        <v>119</v>
      </c>
      <c r="D18" s="9" t="s">
        <v>525</v>
      </c>
      <c r="E18" s="9" t="s">
        <v>526</v>
      </c>
      <c r="F18" s="9" t="s">
        <v>215</v>
      </c>
      <c r="G18" s="9" t="s">
        <v>354</v>
      </c>
      <c r="H18" s="21" t="s">
        <v>463</v>
      </c>
      <c r="I18" s="21" t="s">
        <v>464</v>
      </c>
      <c r="J18" s="9" t="s">
        <v>527</v>
      </c>
      <c r="K18" s="9"/>
      <c r="L18" s="9" t="s">
        <v>466</v>
      </c>
      <c r="M18" s="21" t="s">
        <v>467</v>
      </c>
    </row>
    <row r="19">
      <c r="A19" s="31" t="s">
        <v>528</v>
      </c>
      <c r="B19" s="32" t="s">
        <v>460</v>
      </c>
      <c r="C19" s="21" t="s">
        <v>119</v>
      </c>
      <c r="D19" s="9" t="s">
        <v>529</v>
      </c>
      <c r="E19" s="9" t="s">
        <v>530</v>
      </c>
      <c r="F19" s="9" t="s">
        <v>215</v>
      </c>
      <c r="G19" s="9" t="s">
        <v>531</v>
      </c>
      <c r="H19" s="21" t="s">
        <v>463</v>
      </c>
      <c r="I19" s="21" t="s">
        <v>464</v>
      </c>
      <c r="J19" s="9" t="s">
        <v>532</v>
      </c>
      <c r="K19" s="9"/>
      <c r="L19" s="9" t="s">
        <v>466</v>
      </c>
      <c r="M19" s="21" t="s">
        <v>467</v>
      </c>
    </row>
    <row r="20">
      <c r="A20" s="31" t="s">
        <v>533</v>
      </c>
      <c r="B20" s="32" t="s">
        <v>460</v>
      </c>
      <c r="C20" s="21" t="s">
        <v>119</v>
      </c>
      <c r="D20" s="9" t="s">
        <v>534</v>
      </c>
      <c r="E20" s="9" t="s">
        <v>535</v>
      </c>
      <c r="F20" s="9" t="s">
        <v>215</v>
      </c>
      <c r="G20" s="9" t="s">
        <v>536</v>
      </c>
      <c r="H20" s="21" t="s">
        <v>463</v>
      </c>
      <c r="I20" s="21" t="s">
        <v>464</v>
      </c>
      <c r="J20" s="9" t="s">
        <v>537</v>
      </c>
      <c r="K20" s="9"/>
      <c r="L20" s="9" t="s">
        <v>466</v>
      </c>
      <c r="M20" s="21" t="s">
        <v>467</v>
      </c>
    </row>
    <row r="21" ht="15.75" customHeight="1">
      <c r="A21" s="31" t="s">
        <v>538</v>
      </c>
      <c r="B21" s="32" t="s">
        <v>460</v>
      </c>
      <c r="C21" s="21" t="s">
        <v>119</v>
      </c>
      <c r="D21" s="9" t="s">
        <v>539</v>
      </c>
      <c r="E21" s="9" t="s">
        <v>540</v>
      </c>
      <c r="F21" s="9" t="s">
        <v>215</v>
      </c>
      <c r="G21" s="9" t="s">
        <v>536</v>
      </c>
      <c r="H21" s="21" t="s">
        <v>463</v>
      </c>
      <c r="I21" s="21" t="s">
        <v>464</v>
      </c>
      <c r="J21" s="9" t="s">
        <v>541</v>
      </c>
      <c r="K21" s="9"/>
      <c r="L21" s="9" t="s">
        <v>466</v>
      </c>
      <c r="M21" s="21" t="s">
        <v>467</v>
      </c>
    </row>
    <row r="22" ht="15.75" customHeight="1">
      <c r="A22" s="31" t="s">
        <v>542</v>
      </c>
      <c r="B22" s="32" t="s">
        <v>460</v>
      </c>
      <c r="C22" s="21" t="s">
        <v>119</v>
      </c>
      <c r="D22" s="9" t="s">
        <v>543</v>
      </c>
      <c r="E22" s="9" t="s">
        <v>544</v>
      </c>
      <c r="F22" s="9" t="s">
        <v>215</v>
      </c>
      <c r="G22" s="9" t="s">
        <v>545</v>
      </c>
      <c r="H22" s="21" t="s">
        <v>463</v>
      </c>
      <c r="I22" s="21" t="s">
        <v>464</v>
      </c>
      <c r="J22" s="9" t="s">
        <v>546</v>
      </c>
      <c r="K22" s="9"/>
      <c r="L22" s="9" t="s">
        <v>466</v>
      </c>
      <c r="M22" s="21" t="s">
        <v>467</v>
      </c>
    </row>
    <row r="23" ht="15.75" customHeight="1">
      <c r="A23" s="31" t="s">
        <v>547</v>
      </c>
      <c r="B23" s="32" t="s">
        <v>460</v>
      </c>
      <c r="C23" s="21" t="s">
        <v>119</v>
      </c>
      <c r="D23" s="9" t="s">
        <v>548</v>
      </c>
      <c r="E23" s="9" t="s">
        <v>549</v>
      </c>
      <c r="F23" s="9" t="s">
        <v>215</v>
      </c>
      <c r="G23" s="9" t="s">
        <v>550</v>
      </c>
      <c r="H23" s="21" t="s">
        <v>463</v>
      </c>
      <c r="I23" s="21" t="s">
        <v>464</v>
      </c>
      <c r="J23" s="9" t="s">
        <v>551</v>
      </c>
      <c r="K23" s="9"/>
      <c r="L23" s="9" t="s">
        <v>466</v>
      </c>
      <c r="M23" s="21" t="s">
        <v>467</v>
      </c>
    </row>
    <row r="24" ht="15.75" customHeight="1">
      <c r="A24" s="31" t="s">
        <v>552</v>
      </c>
      <c r="B24" s="32" t="s">
        <v>460</v>
      </c>
      <c r="C24" s="21" t="s">
        <v>119</v>
      </c>
      <c r="D24" s="9" t="s">
        <v>553</v>
      </c>
      <c r="E24" s="9" t="s">
        <v>554</v>
      </c>
      <c r="F24" s="9" t="s">
        <v>215</v>
      </c>
      <c r="G24" s="9" t="s">
        <v>555</v>
      </c>
      <c r="H24" s="21" t="s">
        <v>556</v>
      </c>
      <c r="I24" s="21" t="s">
        <v>557</v>
      </c>
      <c r="J24" s="9" t="s">
        <v>558</v>
      </c>
      <c r="K24" s="9"/>
      <c r="L24" s="9" t="s">
        <v>466</v>
      </c>
      <c r="M24" s="21" t="s">
        <v>467</v>
      </c>
    </row>
    <row r="25" ht="15.75" customHeight="1">
      <c r="A25" s="31" t="s">
        <v>559</v>
      </c>
      <c r="B25" s="32" t="s">
        <v>460</v>
      </c>
      <c r="C25" s="21" t="s">
        <v>119</v>
      </c>
      <c r="D25" s="9" t="s">
        <v>560</v>
      </c>
      <c r="E25" s="9" t="s">
        <v>561</v>
      </c>
      <c r="F25" s="9" t="s">
        <v>284</v>
      </c>
      <c r="G25" s="9" t="s">
        <v>373</v>
      </c>
      <c r="H25" s="21" t="s">
        <v>463</v>
      </c>
      <c r="I25" s="21" t="s">
        <v>464</v>
      </c>
      <c r="J25" s="9" t="s">
        <v>562</v>
      </c>
      <c r="K25" s="9"/>
      <c r="L25" s="9" t="s">
        <v>466</v>
      </c>
      <c r="M25" s="21" t="s">
        <v>467</v>
      </c>
    </row>
    <row r="26" ht="15.75" customHeight="1">
      <c r="A26" s="31" t="s">
        <v>563</v>
      </c>
      <c r="B26" s="32" t="s">
        <v>460</v>
      </c>
      <c r="C26" s="21" t="s">
        <v>119</v>
      </c>
      <c r="D26" s="9" t="s">
        <v>564</v>
      </c>
      <c r="E26" s="9" t="s">
        <v>565</v>
      </c>
      <c r="F26" s="9" t="s">
        <v>284</v>
      </c>
      <c r="G26" s="9" t="s">
        <v>566</v>
      </c>
      <c r="H26" s="21" t="s">
        <v>463</v>
      </c>
      <c r="I26" s="21" t="s">
        <v>464</v>
      </c>
      <c r="J26" s="9" t="s">
        <v>567</v>
      </c>
      <c r="K26" s="9"/>
      <c r="L26" s="9" t="s">
        <v>466</v>
      </c>
      <c r="M26" s="21" t="s">
        <v>467</v>
      </c>
    </row>
    <row r="27" ht="15.75" customHeight="1">
      <c r="A27" s="31" t="s">
        <v>568</v>
      </c>
      <c r="B27" s="32" t="s">
        <v>460</v>
      </c>
      <c r="C27" s="21" t="s">
        <v>119</v>
      </c>
      <c r="D27" s="9" t="s">
        <v>569</v>
      </c>
      <c r="E27" s="9" t="s">
        <v>570</v>
      </c>
      <c r="F27" s="9" t="s">
        <v>215</v>
      </c>
      <c r="G27" s="9" t="s">
        <v>571</v>
      </c>
      <c r="H27" s="21" t="s">
        <v>463</v>
      </c>
      <c r="I27" s="21" t="s">
        <v>464</v>
      </c>
      <c r="J27" s="9" t="s">
        <v>572</v>
      </c>
      <c r="K27" s="9"/>
      <c r="L27" s="9" t="s">
        <v>466</v>
      </c>
      <c r="M27" s="21" t="s">
        <v>467</v>
      </c>
    </row>
    <row r="28" ht="15.75" customHeight="1">
      <c r="A28" s="31" t="s">
        <v>573</v>
      </c>
      <c r="B28" s="32" t="s">
        <v>460</v>
      </c>
      <c r="C28" s="21" t="s">
        <v>119</v>
      </c>
      <c r="D28" s="9" t="s">
        <v>370</v>
      </c>
      <c r="E28" s="9" t="s">
        <v>574</v>
      </c>
      <c r="F28" s="9" t="s">
        <v>284</v>
      </c>
      <c r="G28" s="9" t="s">
        <v>371</v>
      </c>
      <c r="H28" s="21" t="s">
        <v>463</v>
      </c>
      <c r="I28" s="21" t="s">
        <v>464</v>
      </c>
      <c r="J28" s="9" t="s">
        <v>575</v>
      </c>
      <c r="K28" s="9"/>
      <c r="L28" s="9" t="s">
        <v>466</v>
      </c>
      <c r="M28" s="21" t="s">
        <v>467</v>
      </c>
    </row>
    <row r="29" ht="15.75" customHeight="1">
      <c r="A29" s="31" t="s">
        <v>576</v>
      </c>
      <c r="B29" s="32" t="s">
        <v>460</v>
      </c>
      <c r="C29" s="21" t="s">
        <v>119</v>
      </c>
      <c r="D29" s="9" t="s">
        <v>577</v>
      </c>
      <c r="E29" s="9" t="s">
        <v>578</v>
      </c>
      <c r="F29" s="9" t="s">
        <v>215</v>
      </c>
      <c r="G29" s="9" t="s">
        <v>555</v>
      </c>
      <c r="H29" s="21" t="s">
        <v>556</v>
      </c>
      <c r="I29" s="21" t="s">
        <v>557</v>
      </c>
      <c r="J29" s="9" t="s">
        <v>579</v>
      </c>
      <c r="K29" s="9"/>
      <c r="L29" s="9" t="s">
        <v>466</v>
      </c>
      <c r="M29" s="21" t="s">
        <v>467</v>
      </c>
    </row>
    <row r="30" ht="15.75" customHeight="1">
      <c r="A30" s="31" t="s">
        <v>580</v>
      </c>
      <c r="B30" s="32" t="s">
        <v>460</v>
      </c>
      <c r="C30" s="21" t="s">
        <v>121</v>
      </c>
      <c r="D30" s="9" t="s">
        <v>581</v>
      </c>
      <c r="E30" s="9" t="s">
        <v>582</v>
      </c>
      <c r="F30" s="9" t="s">
        <v>251</v>
      </c>
      <c r="G30" s="9" t="s">
        <v>375</v>
      </c>
      <c r="H30" s="21" t="s">
        <v>463</v>
      </c>
      <c r="I30" s="21" t="s">
        <v>464</v>
      </c>
      <c r="J30" s="9" t="s">
        <v>583</v>
      </c>
      <c r="K30" s="9"/>
      <c r="L30" s="9" t="s">
        <v>466</v>
      </c>
      <c r="M30" s="21" t="s">
        <v>467</v>
      </c>
    </row>
    <row r="31" ht="15.75" customHeight="1">
      <c r="A31" s="31" t="s">
        <v>584</v>
      </c>
      <c r="B31" s="32" t="s">
        <v>460</v>
      </c>
      <c r="C31" s="21" t="s">
        <v>121</v>
      </c>
      <c r="D31" s="9" t="s">
        <v>585</v>
      </c>
      <c r="E31" s="9" t="s">
        <v>586</v>
      </c>
      <c r="F31" s="9" t="s">
        <v>251</v>
      </c>
      <c r="G31" s="9" t="s">
        <v>375</v>
      </c>
      <c r="H31" s="21" t="s">
        <v>463</v>
      </c>
      <c r="I31" s="21" t="s">
        <v>464</v>
      </c>
      <c r="J31" s="9" t="s">
        <v>587</v>
      </c>
      <c r="K31" s="9"/>
      <c r="L31" s="9" t="s">
        <v>466</v>
      </c>
      <c r="M31" s="21" t="s">
        <v>467</v>
      </c>
    </row>
    <row r="32" ht="15.75" customHeight="1">
      <c r="A32" s="31" t="s">
        <v>588</v>
      </c>
      <c r="B32" s="32" t="s">
        <v>460</v>
      </c>
      <c r="C32" s="21" t="s">
        <v>121</v>
      </c>
      <c r="D32" s="9" t="s">
        <v>589</v>
      </c>
      <c r="E32" s="9" t="s">
        <v>590</v>
      </c>
      <c r="F32" s="9" t="s">
        <v>251</v>
      </c>
      <c r="G32" s="9" t="s">
        <v>375</v>
      </c>
      <c r="H32" s="21" t="s">
        <v>556</v>
      </c>
      <c r="I32" s="21" t="s">
        <v>557</v>
      </c>
      <c r="J32" s="9" t="s">
        <v>591</v>
      </c>
      <c r="K32" s="9"/>
      <c r="L32" s="9" t="s">
        <v>466</v>
      </c>
      <c r="M32" s="21" t="s">
        <v>467</v>
      </c>
    </row>
    <row r="33" ht="15.75" customHeight="1">
      <c r="A33" s="31" t="s">
        <v>592</v>
      </c>
      <c r="B33" s="32" t="s">
        <v>460</v>
      </c>
      <c r="C33" s="21" t="s">
        <v>121</v>
      </c>
      <c r="D33" s="9" t="s">
        <v>593</v>
      </c>
      <c r="E33" s="9" t="s">
        <v>594</v>
      </c>
      <c r="F33" s="9" t="s">
        <v>251</v>
      </c>
      <c r="G33" s="9" t="s">
        <v>595</v>
      </c>
      <c r="H33" s="21" t="s">
        <v>463</v>
      </c>
      <c r="I33" s="21" t="s">
        <v>464</v>
      </c>
      <c r="J33" s="9" t="s">
        <v>596</v>
      </c>
      <c r="K33" s="9"/>
      <c r="L33" s="9" t="s">
        <v>466</v>
      </c>
      <c r="M33" s="21" t="s">
        <v>467</v>
      </c>
    </row>
    <row r="34" ht="15.75" customHeight="1">
      <c r="A34" s="31" t="s">
        <v>597</v>
      </c>
      <c r="B34" s="32" t="s">
        <v>460</v>
      </c>
      <c r="C34" s="21" t="s">
        <v>121</v>
      </c>
      <c r="D34" s="9" t="s">
        <v>598</v>
      </c>
      <c r="E34" s="9" t="s">
        <v>599</v>
      </c>
      <c r="F34" s="9" t="s">
        <v>251</v>
      </c>
      <c r="G34" s="9" t="s">
        <v>600</v>
      </c>
      <c r="H34" s="21" t="s">
        <v>463</v>
      </c>
      <c r="I34" s="21" t="s">
        <v>464</v>
      </c>
      <c r="J34" s="9" t="s">
        <v>601</v>
      </c>
      <c r="K34" s="9"/>
      <c r="L34" s="9" t="s">
        <v>466</v>
      </c>
      <c r="M34" s="21" t="s">
        <v>467</v>
      </c>
    </row>
    <row r="35" ht="15.75" customHeight="1">
      <c r="A35" s="31" t="s">
        <v>602</v>
      </c>
      <c r="B35" s="32" t="s">
        <v>460</v>
      </c>
      <c r="C35" s="21" t="s">
        <v>121</v>
      </c>
      <c r="D35" s="9" t="s">
        <v>603</v>
      </c>
      <c r="E35" s="9" t="s">
        <v>604</v>
      </c>
      <c r="F35" s="9" t="s">
        <v>215</v>
      </c>
      <c r="G35" s="9" t="s">
        <v>605</v>
      </c>
      <c r="H35" s="21" t="s">
        <v>463</v>
      </c>
      <c r="I35" s="21" t="s">
        <v>464</v>
      </c>
      <c r="J35" s="9" t="s">
        <v>606</v>
      </c>
      <c r="K35" s="9"/>
      <c r="L35" s="9" t="s">
        <v>466</v>
      </c>
      <c r="M35" s="21" t="s">
        <v>467</v>
      </c>
    </row>
    <row r="36" ht="15.75" customHeight="1">
      <c r="A36" s="31" t="s">
        <v>607</v>
      </c>
      <c r="B36" s="32" t="s">
        <v>460</v>
      </c>
      <c r="C36" s="21" t="s">
        <v>121</v>
      </c>
      <c r="D36" s="9" t="s">
        <v>608</v>
      </c>
      <c r="E36" s="9" t="s">
        <v>609</v>
      </c>
      <c r="F36" s="9" t="s">
        <v>215</v>
      </c>
      <c r="G36" s="9" t="s">
        <v>610</v>
      </c>
      <c r="H36" s="21" t="s">
        <v>463</v>
      </c>
      <c r="I36" s="21" t="s">
        <v>464</v>
      </c>
      <c r="J36" s="9" t="s">
        <v>611</v>
      </c>
      <c r="K36" s="9"/>
      <c r="L36" s="9" t="s">
        <v>466</v>
      </c>
      <c r="M36" s="21" t="s">
        <v>467</v>
      </c>
    </row>
    <row r="37" ht="15.75" customHeight="1">
      <c r="A37" s="31" t="s">
        <v>612</v>
      </c>
      <c r="B37" s="32" t="s">
        <v>460</v>
      </c>
      <c r="C37" s="21" t="s">
        <v>121</v>
      </c>
      <c r="D37" s="9" t="s">
        <v>613</v>
      </c>
      <c r="E37" s="9" t="s">
        <v>614</v>
      </c>
      <c r="F37" s="9" t="s">
        <v>215</v>
      </c>
      <c r="G37" s="9" t="s">
        <v>615</v>
      </c>
      <c r="H37" s="21" t="s">
        <v>482</v>
      </c>
      <c r="I37" s="21" t="s">
        <v>483</v>
      </c>
      <c r="J37" s="9" t="s">
        <v>616</v>
      </c>
      <c r="K37" s="9"/>
      <c r="L37" s="9" t="s">
        <v>466</v>
      </c>
      <c r="M37" s="21" t="s">
        <v>467</v>
      </c>
    </row>
    <row r="38" ht="15.75" customHeight="1">
      <c r="A38" s="31" t="s">
        <v>617</v>
      </c>
      <c r="B38" s="32" t="s">
        <v>460</v>
      </c>
      <c r="C38" s="21" t="s">
        <v>121</v>
      </c>
      <c r="D38" s="9" t="s">
        <v>380</v>
      </c>
      <c r="E38" s="9" t="s">
        <v>618</v>
      </c>
      <c r="F38" s="9" t="s">
        <v>317</v>
      </c>
      <c r="G38" s="9" t="s">
        <v>381</v>
      </c>
      <c r="H38" s="21" t="s">
        <v>556</v>
      </c>
      <c r="I38" s="21" t="s">
        <v>557</v>
      </c>
      <c r="J38" s="9" t="s">
        <v>619</v>
      </c>
      <c r="K38" s="9"/>
      <c r="L38" s="9" t="s">
        <v>466</v>
      </c>
      <c r="M38" s="21" t="s">
        <v>467</v>
      </c>
    </row>
    <row r="39" ht="15.75" customHeight="1">
      <c r="A39" s="31" t="s">
        <v>620</v>
      </c>
      <c r="B39" s="32" t="s">
        <v>460</v>
      </c>
      <c r="C39" s="21" t="s">
        <v>121</v>
      </c>
      <c r="D39" s="9" t="s">
        <v>621</v>
      </c>
      <c r="E39" s="9" t="s">
        <v>622</v>
      </c>
      <c r="F39" s="9" t="s">
        <v>251</v>
      </c>
      <c r="G39" s="9" t="s">
        <v>623</v>
      </c>
      <c r="H39" s="21" t="s">
        <v>556</v>
      </c>
      <c r="I39" s="21" t="s">
        <v>557</v>
      </c>
      <c r="J39" s="9" t="s">
        <v>624</v>
      </c>
      <c r="K39" s="9"/>
      <c r="L39" s="9" t="s">
        <v>466</v>
      </c>
      <c r="M39" s="21" t="s">
        <v>467</v>
      </c>
    </row>
    <row r="40" ht="15.75" customHeight="1">
      <c r="A40" s="31" t="s">
        <v>625</v>
      </c>
      <c r="B40" s="32" t="s">
        <v>460</v>
      </c>
      <c r="C40" s="21" t="s">
        <v>123</v>
      </c>
      <c r="D40" s="9" t="s">
        <v>626</v>
      </c>
      <c r="E40" s="9" t="s">
        <v>627</v>
      </c>
      <c r="F40" s="9" t="s">
        <v>251</v>
      </c>
      <c r="G40" s="9" t="s">
        <v>628</v>
      </c>
      <c r="H40" s="21" t="s">
        <v>556</v>
      </c>
      <c r="I40" s="21" t="s">
        <v>557</v>
      </c>
      <c r="J40" s="9" t="s">
        <v>629</v>
      </c>
      <c r="K40" s="9"/>
      <c r="L40" s="9" t="s">
        <v>466</v>
      </c>
      <c r="M40" s="21" t="s">
        <v>467</v>
      </c>
    </row>
    <row r="41" ht="15.75" customHeight="1">
      <c r="A41" s="31" t="s">
        <v>630</v>
      </c>
      <c r="B41" s="32" t="s">
        <v>460</v>
      </c>
      <c r="C41" s="21" t="s">
        <v>123</v>
      </c>
      <c r="D41" s="9" t="s">
        <v>631</v>
      </c>
      <c r="E41" s="9" t="s">
        <v>632</v>
      </c>
      <c r="F41" s="9" t="s">
        <v>251</v>
      </c>
      <c r="G41" s="9" t="s">
        <v>628</v>
      </c>
      <c r="H41" s="21" t="s">
        <v>482</v>
      </c>
      <c r="I41" s="21" t="s">
        <v>483</v>
      </c>
      <c r="J41" s="9" t="s">
        <v>633</v>
      </c>
      <c r="K41" s="9"/>
      <c r="L41" s="9" t="s">
        <v>466</v>
      </c>
      <c r="M41" s="21" t="s">
        <v>467</v>
      </c>
    </row>
    <row r="42" ht="15.75" customHeight="1">
      <c r="A42" s="31" t="s">
        <v>634</v>
      </c>
      <c r="B42" s="32" t="s">
        <v>460</v>
      </c>
      <c r="C42" s="21" t="s">
        <v>123</v>
      </c>
      <c r="D42" s="9" t="s">
        <v>635</v>
      </c>
      <c r="E42" s="9" t="s">
        <v>636</v>
      </c>
      <c r="F42" s="9" t="s">
        <v>251</v>
      </c>
      <c r="G42" s="9" t="s">
        <v>637</v>
      </c>
      <c r="H42" s="21" t="s">
        <v>556</v>
      </c>
      <c r="I42" s="21" t="s">
        <v>557</v>
      </c>
      <c r="J42" s="9" t="s">
        <v>638</v>
      </c>
      <c r="K42" s="9"/>
      <c r="L42" s="9" t="s">
        <v>466</v>
      </c>
      <c r="M42" s="21" t="s">
        <v>467</v>
      </c>
    </row>
    <row r="43" ht="15.75" customHeight="1">
      <c r="A43" s="31" t="s">
        <v>639</v>
      </c>
      <c r="B43" s="32" t="s">
        <v>460</v>
      </c>
      <c r="C43" s="21" t="s">
        <v>123</v>
      </c>
      <c r="D43" s="9" t="s">
        <v>640</v>
      </c>
      <c r="E43" s="9" t="s">
        <v>641</v>
      </c>
      <c r="F43" s="9" t="s">
        <v>251</v>
      </c>
      <c r="G43" s="9" t="s">
        <v>642</v>
      </c>
      <c r="H43" s="21" t="s">
        <v>556</v>
      </c>
      <c r="I43" s="21" t="s">
        <v>557</v>
      </c>
      <c r="J43" s="9" t="s">
        <v>643</v>
      </c>
      <c r="K43" s="9"/>
      <c r="L43" s="9" t="s">
        <v>466</v>
      </c>
      <c r="M43" s="21" t="s">
        <v>467</v>
      </c>
    </row>
    <row r="44" ht="15.75" customHeight="1">
      <c r="A44" s="31" t="s">
        <v>644</v>
      </c>
      <c r="B44" s="32" t="s">
        <v>460</v>
      </c>
      <c r="C44" s="21" t="s">
        <v>123</v>
      </c>
      <c r="D44" s="9" t="s">
        <v>645</v>
      </c>
      <c r="E44" s="9" t="s">
        <v>646</v>
      </c>
      <c r="F44" s="9" t="s">
        <v>251</v>
      </c>
      <c r="G44" s="9" t="s">
        <v>642</v>
      </c>
      <c r="H44" s="21" t="s">
        <v>556</v>
      </c>
      <c r="I44" s="21" t="s">
        <v>557</v>
      </c>
      <c r="J44" s="9" t="s">
        <v>647</v>
      </c>
      <c r="K44" s="9"/>
      <c r="L44" s="9" t="s">
        <v>466</v>
      </c>
      <c r="M44" s="21" t="s">
        <v>467</v>
      </c>
    </row>
    <row r="45" ht="15.75" customHeight="1">
      <c r="A45" s="31" t="s">
        <v>648</v>
      </c>
      <c r="B45" s="32" t="s">
        <v>460</v>
      </c>
      <c r="C45" s="21" t="s">
        <v>125</v>
      </c>
      <c r="D45" s="9" t="s">
        <v>649</v>
      </c>
      <c r="E45" s="9" t="s">
        <v>650</v>
      </c>
      <c r="F45" s="9" t="s">
        <v>284</v>
      </c>
      <c r="G45" s="9" t="s">
        <v>385</v>
      </c>
      <c r="H45" s="21" t="s">
        <v>463</v>
      </c>
      <c r="I45" s="21" t="s">
        <v>464</v>
      </c>
      <c r="J45" s="9" t="s">
        <v>651</v>
      </c>
      <c r="K45" s="9"/>
      <c r="L45" s="9" t="s">
        <v>466</v>
      </c>
      <c r="M45" s="21" t="s">
        <v>467</v>
      </c>
    </row>
    <row r="46" ht="15.75" customHeight="1">
      <c r="A46" s="31" t="s">
        <v>652</v>
      </c>
      <c r="B46" s="32" t="s">
        <v>460</v>
      </c>
      <c r="C46" s="21" t="s">
        <v>125</v>
      </c>
      <c r="D46" s="9" t="s">
        <v>653</v>
      </c>
      <c r="E46" s="9" t="s">
        <v>654</v>
      </c>
      <c r="F46" s="9" t="s">
        <v>284</v>
      </c>
      <c r="G46" s="9" t="s">
        <v>385</v>
      </c>
      <c r="H46" s="21" t="s">
        <v>556</v>
      </c>
      <c r="I46" s="21" t="s">
        <v>557</v>
      </c>
      <c r="J46" s="9" t="s">
        <v>655</v>
      </c>
      <c r="K46" s="9"/>
      <c r="L46" s="9" t="s">
        <v>466</v>
      </c>
      <c r="M46" s="21" t="s">
        <v>467</v>
      </c>
    </row>
    <row r="47" ht="15.75" customHeight="1">
      <c r="A47" s="31" t="s">
        <v>656</v>
      </c>
      <c r="B47" s="32" t="s">
        <v>460</v>
      </c>
      <c r="C47" s="21" t="s">
        <v>125</v>
      </c>
      <c r="D47" s="9" t="s">
        <v>657</v>
      </c>
      <c r="E47" s="9" t="s">
        <v>658</v>
      </c>
      <c r="F47" s="9" t="s">
        <v>284</v>
      </c>
      <c r="G47" s="9" t="s">
        <v>385</v>
      </c>
      <c r="H47" s="21" t="s">
        <v>482</v>
      </c>
      <c r="I47" s="21" t="s">
        <v>483</v>
      </c>
      <c r="J47" s="9" t="s">
        <v>659</v>
      </c>
      <c r="K47" s="9"/>
      <c r="L47" s="9" t="s">
        <v>466</v>
      </c>
      <c r="M47" s="21" t="s">
        <v>467</v>
      </c>
    </row>
    <row r="48" ht="15.75" customHeight="1">
      <c r="A48" s="31" t="s">
        <v>660</v>
      </c>
      <c r="B48" s="32" t="s">
        <v>460</v>
      </c>
      <c r="C48" s="21" t="s">
        <v>125</v>
      </c>
      <c r="D48" s="9" t="s">
        <v>661</v>
      </c>
      <c r="E48" s="9" t="s">
        <v>662</v>
      </c>
      <c r="F48" s="9" t="s">
        <v>284</v>
      </c>
      <c r="G48" s="9" t="s">
        <v>663</v>
      </c>
      <c r="H48" s="21" t="s">
        <v>556</v>
      </c>
      <c r="I48" s="21" t="s">
        <v>557</v>
      </c>
      <c r="J48" s="9" t="s">
        <v>664</v>
      </c>
      <c r="K48" s="9"/>
      <c r="L48" s="9" t="s">
        <v>466</v>
      </c>
      <c r="M48" s="21" t="s">
        <v>467</v>
      </c>
    </row>
    <row r="49" ht="15.75" customHeight="1">
      <c r="A49" s="31" t="s">
        <v>665</v>
      </c>
      <c r="B49" s="32" t="s">
        <v>460</v>
      </c>
      <c r="C49" s="21" t="s">
        <v>125</v>
      </c>
      <c r="D49" s="9" t="s">
        <v>666</v>
      </c>
      <c r="E49" s="9" t="s">
        <v>667</v>
      </c>
      <c r="F49" s="9" t="s">
        <v>348</v>
      </c>
      <c r="G49" s="9" t="s">
        <v>668</v>
      </c>
      <c r="H49" s="21" t="s">
        <v>463</v>
      </c>
      <c r="I49" s="21" t="s">
        <v>464</v>
      </c>
      <c r="J49" s="9" t="s">
        <v>669</v>
      </c>
      <c r="K49" s="9"/>
      <c r="L49" s="9" t="s">
        <v>466</v>
      </c>
      <c r="M49" s="21" t="s">
        <v>467</v>
      </c>
    </row>
    <row r="50" ht="15.75" customHeight="1">
      <c r="A50" s="31" t="s">
        <v>670</v>
      </c>
      <c r="B50" s="32" t="s">
        <v>460</v>
      </c>
      <c r="C50" s="21" t="s">
        <v>127</v>
      </c>
      <c r="D50" s="9" t="s">
        <v>671</v>
      </c>
      <c r="E50" s="9" t="s">
        <v>672</v>
      </c>
      <c r="F50" s="9" t="s">
        <v>251</v>
      </c>
      <c r="G50" s="9" t="s">
        <v>673</v>
      </c>
      <c r="H50" s="21" t="s">
        <v>463</v>
      </c>
      <c r="I50" s="21" t="s">
        <v>464</v>
      </c>
      <c r="J50" s="9" t="s">
        <v>674</v>
      </c>
      <c r="K50" s="9"/>
      <c r="L50" s="9" t="s">
        <v>466</v>
      </c>
      <c r="M50" s="21" t="s">
        <v>467</v>
      </c>
    </row>
    <row r="51" ht="15.75" customHeight="1">
      <c r="A51" s="31" t="s">
        <v>675</v>
      </c>
      <c r="B51" s="32" t="s">
        <v>460</v>
      </c>
      <c r="C51" s="21" t="s">
        <v>127</v>
      </c>
      <c r="D51" s="9" t="s">
        <v>676</v>
      </c>
      <c r="E51" s="9" t="s">
        <v>677</v>
      </c>
      <c r="F51" s="9" t="s">
        <v>251</v>
      </c>
      <c r="G51" s="9" t="s">
        <v>673</v>
      </c>
      <c r="H51" s="21" t="s">
        <v>463</v>
      </c>
      <c r="I51" s="21" t="s">
        <v>464</v>
      </c>
      <c r="J51" s="9" t="s">
        <v>678</v>
      </c>
      <c r="K51" s="9"/>
      <c r="L51" s="9" t="s">
        <v>466</v>
      </c>
      <c r="M51" s="21" t="s">
        <v>467</v>
      </c>
    </row>
    <row r="52" ht="15.75" customHeight="1">
      <c r="A52" s="31" t="s">
        <v>679</v>
      </c>
      <c r="B52" s="32" t="s">
        <v>460</v>
      </c>
      <c r="C52" s="21" t="s">
        <v>127</v>
      </c>
      <c r="D52" s="9" t="s">
        <v>680</v>
      </c>
      <c r="E52" s="9" t="s">
        <v>681</v>
      </c>
      <c r="F52" s="9" t="s">
        <v>251</v>
      </c>
      <c r="G52" s="9" t="s">
        <v>682</v>
      </c>
      <c r="H52" s="21" t="s">
        <v>463</v>
      </c>
      <c r="I52" s="21" t="s">
        <v>464</v>
      </c>
      <c r="J52" s="9" t="s">
        <v>683</v>
      </c>
      <c r="K52" s="9"/>
      <c r="L52" s="9" t="s">
        <v>466</v>
      </c>
      <c r="M52" s="21" t="s">
        <v>467</v>
      </c>
    </row>
    <row r="53" ht="15.75" customHeight="1">
      <c r="A53" s="31" t="s">
        <v>684</v>
      </c>
      <c r="B53" s="32" t="s">
        <v>460</v>
      </c>
      <c r="C53" s="21" t="s">
        <v>127</v>
      </c>
      <c r="D53" s="9" t="s">
        <v>685</v>
      </c>
      <c r="E53" s="9" t="s">
        <v>686</v>
      </c>
      <c r="F53" s="9" t="s">
        <v>251</v>
      </c>
      <c r="G53" s="9" t="s">
        <v>682</v>
      </c>
      <c r="H53" s="21" t="s">
        <v>463</v>
      </c>
      <c r="I53" s="21" t="s">
        <v>464</v>
      </c>
      <c r="J53" s="9" t="s">
        <v>687</v>
      </c>
      <c r="K53" s="9"/>
      <c r="L53" s="9" t="s">
        <v>466</v>
      </c>
      <c r="M53" s="21" t="s">
        <v>467</v>
      </c>
    </row>
    <row r="54" ht="15.75" customHeight="1">
      <c r="A54" s="31" t="s">
        <v>688</v>
      </c>
      <c r="B54" s="32" t="s">
        <v>460</v>
      </c>
      <c r="C54" s="21" t="s">
        <v>127</v>
      </c>
      <c r="D54" s="9" t="s">
        <v>689</v>
      </c>
      <c r="E54" s="9" t="s">
        <v>690</v>
      </c>
      <c r="F54" s="9" t="s">
        <v>215</v>
      </c>
      <c r="G54" s="9" t="s">
        <v>392</v>
      </c>
      <c r="H54" s="21" t="s">
        <v>463</v>
      </c>
      <c r="I54" s="21" t="s">
        <v>464</v>
      </c>
      <c r="J54" s="9" t="s">
        <v>691</v>
      </c>
      <c r="K54" s="9"/>
      <c r="L54" s="9" t="s">
        <v>466</v>
      </c>
      <c r="M54" s="21" t="s">
        <v>467</v>
      </c>
    </row>
    <row r="55" ht="15.75" customHeight="1">
      <c r="A55" s="31" t="s">
        <v>692</v>
      </c>
      <c r="B55" s="32" t="s">
        <v>460</v>
      </c>
      <c r="C55" s="21" t="s">
        <v>127</v>
      </c>
      <c r="D55" s="9" t="s">
        <v>693</v>
      </c>
      <c r="E55" s="9" t="s">
        <v>694</v>
      </c>
      <c r="F55" s="9" t="s">
        <v>253</v>
      </c>
      <c r="G55" s="9" t="s">
        <v>392</v>
      </c>
      <c r="H55" s="21" t="s">
        <v>463</v>
      </c>
      <c r="I55" s="21" t="s">
        <v>464</v>
      </c>
      <c r="J55" s="9" t="s">
        <v>695</v>
      </c>
      <c r="K55" s="9"/>
      <c r="L55" s="9" t="s">
        <v>466</v>
      </c>
      <c r="M55" s="21" t="s">
        <v>467</v>
      </c>
    </row>
    <row r="56" ht="15.75" customHeight="1">
      <c r="A56" s="31" t="s">
        <v>696</v>
      </c>
      <c r="B56" s="32" t="s">
        <v>460</v>
      </c>
      <c r="C56" s="21" t="s">
        <v>127</v>
      </c>
      <c r="D56" s="9" t="s">
        <v>697</v>
      </c>
      <c r="E56" s="9" t="s">
        <v>698</v>
      </c>
      <c r="F56" s="9" t="s">
        <v>317</v>
      </c>
      <c r="G56" s="9" t="s">
        <v>699</v>
      </c>
      <c r="H56" s="21" t="s">
        <v>463</v>
      </c>
      <c r="I56" s="21" t="s">
        <v>464</v>
      </c>
      <c r="J56" s="9" t="s">
        <v>700</v>
      </c>
      <c r="K56" s="9"/>
      <c r="L56" s="9" t="s">
        <v>466</v>
      </c>
      <c r="M56" s="21" t="s">
        <v>467</v>
      </c>
    </row>
    <row r="57" ht="15.75" customHeight="1">
      <c r="A57" s="31" t="s">
        <v>701</v>
      </c>
      <c r="B57" s="32" t="s">
        <v>460</v>
      </c>
      <c r="C57" s="21" t="s">
        <v>127</v>
      </c>
      <c r="D57" s="9" t="s">
        <v>702</v>
      </c>
      <c r="E57" s="9" t="s">
        <v>703</v>
      </c>
      <c r="F57" s="9" t="s">
        <v>251</v>
      </c>
      <c r="G57" s="9" t="s">
        <v>699</v>
      </c>
      <c r="H57" s="21" t="s">
        <v>463</v>
      </c>
      <c r="I57" s="21" t="s">
        <v>464</v>
      </c>
      <c r="J57" s="9" t="s">
        <v>704</v>
      </c>
      <c r="K57" s="9"/>
      <c r="L57" s="9" t="s">
        <v>466</v>
      </c>
      <c r="M57" s="21" t="s">
        <v>467</v>
      </c>
    </row>
    <row r="58" ht="15.75" customHeight="1">
      <c r="A58" s="31" t="s">
        <v>705</v>
      </c>
      <c r="B58" s="32" t="s">
        <v>460</v>
      </c>
      <c r="C58" s="21" t="s">
        <v>127</v>
      </c>
      <c r="D58" s="9" t="s">
        <v>706</v>
      </c>
      <c r="E58" s="9" t="s">
        <v>707</v>
      </c>
      <c r="F58" s="9" t="s">
        <v>251</v>
      </c>
      <c r="G58" s="9" t="s">
        <v>708</v>
      </c>
      <c r="H58" s="21" t="s">
        <v>463</v>
      </c>
      <c r="I58" s="21" t="s">
        <v>464</v>
      </c>
      <c r="J58" s="9" t="s">
        <v>709</v>
      </c>
      <c r="K58" s="9"/>
      <c r="L58" s="9" t="s">
        <v>466</v>
      </c>
      <c r="M58" s="21" t="s">
        <v>467</v>
      </c>
    </row>
    <row r="59" ht="15.75" customHeight="1">
      <c r="A59" s="31" t="s">
        <v>710</v>
      </c>
      <c r="B59" s="32" t="s">
        <v>460</v>
      </c>
      <c r="C59" s="21" t="s">
        <v>127</v>
      </c>
      <c r="D59" s="9" t="s">
        <v>711</v>
      </c>
      <c r="E59" s="9" t="s">
        <v>712</v>
      </c>
      <c r="F59" s="9" t="s">
        <v>251</v>
      </c>
      <c r="G59" s="9" t="s">
        <v>713</v>
      </c>
      <c r="H59" s="21" t="s">
        <v>463</v>
      </c>
      <c r="I59" s="21" t="s">
        <v>464</v>
      </c>
      <c r="J59" s="9" t="s">
        <v>714</v>
      </c>
      <c r="K59" s="9"/>
      <c r="L59" s="9" t="s">
        <v>466</v>
      </c>
      <c r="M59" s="21" t="s">
        <v>467</v>
      </c>
    </row>
    <row r="60" ht="15.75" customHeight="1">
      <c r="A60" s="31" t="s">
        <v>715</v>
      </c>
      <c r="B60" s="32" t="s">
        <v>460</v>
      </c>
      <c r="C60" s="21" t="s">
        <v>127</v>
      </c>
      <c r="D60" s="9" t="s">
        <v>716</v>
      </c>
      <c r="E60" s="9" t="s">
        <v>717</v>
      </c>
      <c r="F60" s="9" t="s">
        <v>317</v>
      </c>
      <c r="G60" s="9" t="s">
        <v>718</v>
      </c>
      <c r="H60" s="21" t="s">
        <v>482</v>
      </c>
      <c r="I60" s="21" t="s">
        <v>483</v>
      </c>
      <c r="J60" s="9" t="s">
        <v>719</v>
      </c>
      <c r="K60" s="9"/>
      <c r="L60" s="9" t="s">
        <v>466</v>
      </c>
      <c r="M60" s="21" t="s">
        <v>467</v>
      </c>
    </row>
    <row r="61" ht="15.75" customHeight="1">
      <c r="A61" s="31" t="s">
        <v>720</v>
      </c>
      <c r="B61" s="32" t="s">
        <v>460</v>
      </c>
      <c r="C61" s="21" t="s">
        <v>129</v>
      </c>
      <c r="D61" s="9" t="s">
        <v>721</v>
      </c>
      <c r="E61" s="9" t="s">
        <v>722</v>
      </c>
      <c r="F61" s="9" t="s">
        <v>251</v>
      </c>
      <c r="G61" s="9" t="s">
        <v>723</v>
      </c>
      <c r="H61" s="21" t="s">
        <v>482</v>
      </c>
      <c r="I61" s="21" t="s">
        <v>483</v>
      </c>
      <c r="J61" s="9" t="s">
        <v>724</v>
      </c>
      <c r="K61" s="9"/>
      <c r="L61" s="9" t="s">
        <v>466</v>
      </c>
      <c r="M61" s="21" t="s">
        <v>467</v>
      </c>
    </row>
    <row r="62" ht="15.75" customHeight="1">
      <c r="A62" s="31" t="s">
        <v>725</v>
      </c>
      <c r="B62" s="32" t="s">
        <v>460</v>
      </c>
      <c r="C62" s="21" t="s">
        <v>129</v>
      </c>
      <c r="D62" s="9" t="s">
        <v>726</v>
      </c>
      <c r="E62" s="9" t="s">
        <v>727</v>
      </c>
      <c r="F62" s="9" t="s">
        <v>251</v>
      </c>
      <c r="G62" s="9" t="s">
        <v>723</v>
      </c>
      <c r="H62" s="21" t="s">
        <v>482</v>
      </c>
      <c r="I62" s="21" t="s">
        <v>483</v>
      </c>
      <c r="J62" s="9" t="s">
        <v>728</v>
      </c>
      <c r="K62" s="9"/>
      <c r="L62" s="9" t="s">
        <v>466</v>
      </c>
      <c r="M62" s="21" t="s">
        <v>467</v>
      </c>
    </row>
    <row r="63" ht="15.75" customHeight="1">
      <c r="A63" s="31" t="s">
        <v>729</v>
      </c>
      <c r="B63" s="32" t="s">
        <v>460</v>
      </c>
      <c r="C63" s="21" t="s">
        <v>129</v>
      </c>
      <c r="D63" s="9" t="s">
        <v>730</v>
      </c>
      <c r="E63" s="9" t="s">
        <v>731</v>
      </c>
      <c r="F63" s="9" t="s">
        <v>215</v>
      </c>
      <c r="G63" s="9" t="s">
        <v>732</v>
      </c>
      <c r="H63" s="21" t="s">
        <v>482</v>
      </c>
      <c r="I63" s="21" t="s">
        <v>483</v>
      </c>
      <c r="J63" s="9" t="s">
        <v>733</v>
      </c>
      <c r="K63" s="9"/>
      <c r="L63" s="9" t="s">
        <v>466</v>
      </c>
      <c r="M63" s="21" t="s">
        <v>467</v>
      </c>
    </row>
    <row r="64" ht="15.75" customHeight="1">
      <c r="A64" s="31" t="s">
        <v>734</v>
      </c>
      <c r="B64" s="32" t="s">
        <v>460</v>
      </c>
      <c r="C64" s="21" t="s">
        <v>129</v>
      </c>
      <c r="D64" s="9" t="s">
        <v>735</v>
      </c>
      <c r="E64" s="9" t="s">
        <v>736</v>
      </c>
      <c r="F64" s="9" t="s">
        <v>251</v>
      </c>
      <c r="G64" s="9" t="s">
        <v>737</v>
      </c>
      <c r="H64" s="21" t="s">
        <v>482</v>
      </c>
      <c r="I64" s="21" t="s">
        <v>483</v>
      </c>
      <c r="J64" s="9" t="s">
        <v>738</v>
      </c>
      <c r="K64" s="9"/>
      <c r="L64" s="9" t="s">
        <v>466</v>
      </c>
      <c r="M64" s="21" t="s">
        <v>467</v>
      </c>
    </row>
    <row r="65" ht="15.75" customHeight="1">
      <c r="A65" s="31" t="s">
        <v>739</v>
      </c>
      <c r="B65" s="32" t="s">
        <v>460</v>
      </c>
      <c r="C65" s="21" t="s">
        <v>129</v>
      </c>
      <c r="D65" s="9" t="s">
        <v>740</v>
      </c>
      <c r="E65" s="9" t="s">
        <v>741</v>
      </c>
      <c r="F65" s="9" t="s">
        <v>251</v>
      </c>
      <c r="G65" s="9" t="s">
        <v>742</v>
      </c>
      <c r="H65" s="21" t="s">
        <v>482</v>
      </c>
      <c r="I65" s="21" t="s">
        <v>483</v>
      </c>
      <c r="J65" s="9" t="s">
        <v>743</v>
      </c>
      <c r="K65" s="9"/>
      <c r="L65" s="9" t="s">
        <v>466</v>
      </c>
      <c r="M65" s="21" t="s">
        <v>467</v>
      </c>
    </row>
    <row r="66" ht="15.75" customHeight="1">
      <c r="A66" s="31" t="s">
        <v>744</v>
      </c>
      <c r="B66" s="32" t="s">
        <v>460</v>
      </c>
      <c r="C66" s="21" t="s">
        <v>129</v>
      </c>
      <c r="D66" s="9" t="s">
        <v>745</v>
      </c>
      <c r="E66" s="9" t="s">
        <v>746</v>
      </c>
      <c r="F66" s="9" t="s">
        <v>215</v>
      </c>
      <c r="G66" s="9" t="s">
        <v>747</v>
      </c>
      <c r="H66" s="21" t="s">
        <v>482</v>
      </c>
      <c r="I66" s="21" t="s">
        <v>483</v>
      </c>
      <c r="J66" s="9" t="s">
        <v>748</v>
      </c>
      <c r="K66" s="9"/>
      <c r="L66" s="9" t="s">
        <v>466</v>
      </c>
      <c r="M66" s="21" t="s">
        <v>467</v>
      </c>
    </row>
    <row r="67" ht="15.75" customHeight="1">
      <c r="A67" s="31" t="s">
        <v>749</v>
      </c>
      <c r="B67" s="32" t="s">
        <v>460</v>
      </c>
      <c r="C67" s="21" t="s">
        <v>131</v>
      </c>
      <c r="D67" s="9" t="s">
        <v>750</v>
      </c>
      <c r="E67" s="9" t="s">
        <v>751</v>
      </c>
      <c r="F67" s="9" t="s">
        <v>284</v>
      </c>
      <c r="G67" s="9" t="s">
        <v>752</v>
      </c>
      <c r="H67" s="21" t="s">
        <v>463</v>
      </c>
      <c r="I67" s="21" t="s">
        <v>464</v>
      </c>
      <c r="J67" s="9" t="s">
        <v>753</v>
      </c>
      <c r="K67" s="9"/>
      <c r="L67" s="9" t="s">
        <v>466</v>
      </c>
      <c r="M67" s="21" t="s">
        <v>467</v>
      </c>
    </row>
    <row r="68" ht="15.75" customHeight="1">
      <c r="A68" s="31" t="s">
        <v>754</v>
      </c>
      <c r="B68" s="32" t="s">
        <v>460</v>
      </c>
      <c r="C68" s="21" t="s">
        <v>131</v>
      </c>
      <c r="D68" s="9" t="s">
        <v>755</v>
      </c>
      <c r="E68" s="9" t="s">
        <v>756</v>
      </c>
      <c r="F68" s="9" t="s">
        <v>317</v>
      </c>
      <c r="G68" s="9" t="s">
        <v>757</v>
      </c>
      <c r="H68" s="21" t="s">
        <v>463</v>
      </c>
      <c r="I68" s="21" t="s">
        <v>464</v>
      </c>
      <c r="J68" s="9" t="s">
        <v>758</v>
      </c>
      <c r="K68" s="9"/>
      <c r="L68" s="9" t="s">
        <v>466</v>
      </c>
      <c r="M68" s="21" t="s">
        <v>467</v>
      </c>
    </row>
    <row r="69" ht="15.75" customHeight="1">
      <c r="A69" s="31" t="s">
        <v>759</v>
      </c>
      <c r="B69" s="32" t="s">
        <v>460</v>
      </c>
      <c r="C69" s="21" t="s">
        <v>131</v>
      </c>
      <c r="D69" s="9" t="s">
        <v>760</v>
      </c>
      <c r="E69" s="9" t="s">
        <v>761</v>
      </c>
      <c r="F69" s="9" t="s">
        <v>284</v>
      </c>
      <c r="G69" s="9" t="s">
        <v>752</v>
      </c>
      <c r="H69" s="21" t="s">
        <v>463</v>
      </c>
      <c r="I69" s="21" t="s">
        <v>464</v>
      </c>
      <c r="J69" s="9" t="s">
        <v>762</v>
      </c>
      <c r="K69" s="9"/>
      <c r="L69" s="9" t="s">
        <v>466</v>
      </c>
      <c r="M69" s="21" t="s">
        <v>467</v>
      </c>
    </row>
    <row r="70" ht="15.75" customHeight="1">
      <c r="A70" s="31" t="s">
        <v>763</v>
      </c>
      <c r="B70" s="32" t="s">
        <v>460</v>
      </c>
      <c r="C70" s="21" t="s">
        <v>131</v>
      </c>
      <c r="D70" s="9" t="s">
        <v>764</v>
      </c>
      <c r="E70" s="9" t="s">
        <v>765</v>
      </c>
      <c r="F70" s="9" t="s">
        <v>317</v>
      </c>
      <c r="G70" s="9" t="s">
        <v>766</v>
      </c>
      <c r="H70" s="21" t="s">
        <v>463</v>
      </c>
      <c r="I70" s="21" t="s">
        <v>464</v>
      </c>
      <c r="J70" s="9" t="s">
        <v>767</v>
      </c>
      <c r="K70" s="9"/>
      <c r="L70" s="9" t="s">
        <v>466</v>
      </c>
      <c r="M70" s="21" t="s">
        <v>467</v>
      </c>
    </row>
    <row r="71" ht="15.75" customHeight="1">
      <c r="A71" s="31" t="s">
        <v>768</v>
      </c>
      <c r="B71" s="32" t="s">
        <v>460</v>
      </c>
      <c r="C71" s="21" t="s">
        <v>131</v>
      </c>
      <c r="D71" s="9" t="s">
        <v>769</v>
      </c>
      <c r="E71" s="9" t="s">
        <v>770</v>
      </c>
      <c r="F71" s="9" t="s">
        <v>317</v>
      </c>
      <c r="G71" s="9" t="s">
        <v>771</v>
      </c>
      <c r="H71" s="21" t="s">
        <v>463</v>
      </c>
      <c r="I71" s="21" t="s">
        <v>464</v>
      </c>
      <c r="J71" s="9" t="s">
        <v>772</v>
      </c>
      <c r="K71" s="9"/>
      <c r="L71" s="9" t="s">
        <v>466</v>
      </c>
      <c r="M71" s="21" t="s">
        <v>467</v>
      </c>
    </row>
    <row r="72" ht="15.75" customHeight="1">
      <c r="A72" s="31" t="s">
        <v>773</v>
      </c>
      <c r="B72" s="32" t="s">
        <v>460</v>
      </c>
      <c r="C72" s="21" t="s">
        <v>131</v>
      </c>
      <c r="D72" s="9" t="s">
        <v>774</v>
      </c>
      <c r="E72" s="9" t="s">
        <v>775</v>
      </c>
      <c r="F72" s="9" t="s">
        <v>284</v>
      </c>
      <c r="G72" s="9" t="s">
        <v>776</v>
      </c>
      <c r="H72" s="21" t="s">
        <v>463</v>
      </c>
      <c r="I72" s="21" t="s">
        <v>464</v>
      </c>
      <c r="J72" s="9" t="s">
        <v>777</v>
      </c>
      <c r="K72" s="9"/>
      <c r="L72" s="9" t="s">
        <v>466</v>
      </c>
      <c r="M72" s="21" t="s">
        <v>467</v>
      </c>
    </row>
    <row r="73" ht="15.75" customHeight="1">
      <c r="A73" s="31" t="s">
        <v>778</v>
      </c>
      <c r="B73" s="32" t="s">
        <v>460</v>
      </c>
      <c r="C73" s="21" t="s">
        <v>131</v>
      </c>
      <c r="D73" s="9" t="s">
        <v>779</v>
      </c>
      <c r="E73" s="9" t="s">
        <v>780</v>
      </c>
      <c r="F73" s="9" t="s">
        <v>284</v>
      </c>
      <c r="G73" s="9" t="s">
        <v>776</v>
      </c>
      <c r="H73" s="21" t="s">
        <v>463</v>
      </c>
      <c r="I73" s="21" t="s">
        <v>464</v>
      </c>
      <c r="J73" s="9" t="s">
        <v>781</v>
      </c>
      <c r="K73" s="9"/>
      <c r="L73" s="9" t="s">
        <v>466</v>
      </c>
      <c r="M73" s="21" t="s">
        <v>467</v>
      </c>
    </row>
    <row r="74" ht="15.75" customHeight="1">
      <c r="A74" s="31" t="s">
        <v>782</v>
      </c>
      <c r="B74" s="32" t="s">
        <v>460</v>
      </c>
      <c r="C74" s="21" t="s">
        <v>131</v>
      </c>
      <c r="D74" s="9" t="s">
        <v>783</v>
      </c>
      <c r="E74" s="9" t="s">
        <v>784</v>
      </c>
      <c r="F74" s="9" t="s">
        <v>215</v>
      </c>
      <c r="G74" s="9" t="s">
        <v>399</v>
      </c>
      <c r="H74" s="21" t="s">
        <v>463</v>
      </c>
      <c r="I74" s="21" t="s">
        <v>464</v>
      </c>
      <c r="J74" s="9" t="s">
        <v>785</v>
      </c>
      <c r="K74" s="9"/>
      <c r="L74" s="9" t="s">
        <v>466</v>
      </c>
      <c r="M74" s="21" t="s">
        <v>467</v>
      </c>
    </row>
    <row r="75" ht="15.75" customHeight="1">
      <c r="A75" s="31" t="s">
        <v>786</v>
      </c>
      <c r="B75" s="32" t="s">
        <v>460</v>
      </c>
      <c r="C75" s="21" t="s">
        <v>131</v>
      </c>
      <c r="D75" s="9" t="s">
        <v>787</v>
      </c>
      <c r="E75" s="9" t="s">
        <v>788</v>
      </c>
      <c r="F75" s="9" t="s">
        <v>215</v>
      </c>
      <c r="G75" s="9" t="s">
        <v>789</v>
      </c>
      <c r="H75" s="21" t="s">
        <v>463</v>
      </c>
      <c r="I75" s="21" t="s">
        <v>464</v>
      </c>
      <c r="J75" s="9" t="s">
        <v>790</v>
      </c>
      <c r="K75" s="9"/>
      <c r="L75" s="9" t="s">
        <v>466</v>
      </c>
      <c r="M75" s="21" t="s">
        <v>467</v>
      </c>
    </row>
    <row r="76" ht="15.75" customHeight="1">
      <c r="A76" s="31" t="s">
        <v>791</v>
      </c>
      <c r="B76" s="32" t="s">
        <v>460</v>
      </c>
      <c r="C76" s="21" t="s">
        <v>131</v>
      </c>
      <c r="D76" s="9" t="s">
        <v>792</v>
      </c>
      <c r="E76" s="9" t="s">
        <v>793</v>
      </c>
      <c r="F76" s="9" t="s">
        <v>317</v>
      </c>
      <c r="G76" s="9" t="s">
        <v>399</v>
      </c>
      <c r="H76" s="21" t="s">
        <v>463</v>
      </c>
      <c r="I76" s="21" t="s">
        <v>464</v>
      </c>
      <c r="J76" s="9" t="s">
        <v>794</v>
      </c>
      <c r="K76" s="9"/>
      <c r="L76" s="9" t="s">
        <v>466</v>
      </c>
      <c r="M76" s="21" t="s">
        <v>467</v>
      </c>
    </row>
    <row r="77" ht="15.75" customHeight="1">
      <c r="A77" s="31" t="s">
        <v>795</v>
      </c>
      <c r="B77" s="32" t="s">
        <v>460</v>
      </c>
      <c r="C77" s="21" t="s">
        <v>131</v>
      </c>
      <c r="D77" s="9" t="s">
        <v>796</v>
      </c>
      <c r="E77" s="9" t="s">
        <v>797</v>
      </c>
      <c r="F77" s="9" t="s">
        <v>317</v>
      </c>
      <c r="G77" s="9" t="s">
        <v>798</v>
      </c>
      <c r="H77" s="21" t="s">
        <v>463</v>
      </c>
      <c r="I77" s="21" t="s">
        <v>464</v>
      </c>
      <c r="J77" s="9" t="s">
        <v>799</v>
      </c>
      <c r="K77" s="9"/>
      <c r="L77" s="9" t="s">
        <v>466</v>
      </c>
      <c r="M77" s="21" t="s">
        <v>467</v>
      </c>
    </row>
    <row r="78" ht="15.75" customHeight="1">
      <c r="A78" s="31" t="s">
        <v>800</v>
      </c>
      <c r="B78" s="32" t="s">
        <v>460</v>
      </c>
      <c r="C78" s="21" t="s">
        <v>131</v>
      </c>
      <c r="D78" s="9" t="s">
        <v>801</v>
      </c>
      <c r="E78" s="9" t="s">
        <v>802</v>
      </c>
      <c r="F78" s="9" t="s">
        <v>251</v>
      </c>
      <c r="G78" s="9" t="s">
        <v>803</v>
      </c>
      <c r="H78" s="21" t="s">
        <v>463</v>
      </c>
      <c r="I78" s="21" t="s">
        <v>464</v>
      </c>
      <c r="J78" s="9" t="s">
        <v>804</v>
      </c>
      <c r="K78" s="9"/>
      <c r="L78" s="9" t="s">
        <v>466</v>
      </c>
      <c r="M78" s="21" t="s">
        <v>467</v>
      </c>
    </row>
    <row r="79" ht="15.75" customHeight="1">
      <c r="A79" s="31" t="s">
        <v>805</v>
      </c>
      <c r="B79" s="32" t="s">
        <v>460</v>
      </c>
      <c r="C79" s="21" t="s">
        <v>131</v>
      </c>
      <c r="D79" s="9" t="s">
        <v>806</v>
      </c>
      <c r="E79" s="9" t="s">
        <v>807</v>
      </c>
      <c r="F79" s="9" t="s">
        <v>317</v>
      </c>
      <c r="G79" s="9" t="s">
        <v>808</v>
      </c>
      <c r="H79" s="21" t="s">
        <v>463</v>
      </c>
      <c r="I79" s="21" t="s">
        <v>464</v>
      </c>
      <c r="J79" s="9" t="s">
        <v>809</v>
      </c>
      <c r="K79" s="9"/>
      <c r="L79" s="9" t="s">
        <v>466</v>
      </c>
      <c r="M79" s="21" t="s">
        <v>467</v>
      </c>
    </row>
    <row r="80" ht="15.75" customHeight="1">
      <c r="A80" s="31" t="s">
        <v>810</v>
      </c>
      <c r="B80" s="32" t="s">
        <v>460</v>
      </c>
      <c r="C80" s="21" t="s">
        <v>131</v>
      </c>
      <c r="D80" s="9" t="s">
        <v>811</v>
      </c>
      <c r="E80" s="9" t="s">
        <v>812</v>
      </c>
      <c r="F80" s="9" t="s">
        <v>215</v>
      </c>
      <c r="G80" s="9" t="s">
        <v>808</v>
      </c>
      <c r="H80" s="21" t="s">
        <v>556</v>
      </c>
      <c r="I80" s="21" t="s">
        <v>557</v>
      </c>
      <c r="J80" s="9" t="s">
        <v>813</v>
      </c>
      <c r="K80" s="9"/>
      <c r="L80" s="9" t="s">
        <v>466</v>
      </c>
      <c r="M80" s="21" t="s">
        <v>467</v>
      </c>
    </row>
    <row r="81" ht="15.75" customHeight="1">
      <c r="A81" s="31" t="s">
        <v>814</v>
      </c>
      <c r="B81" s="32" t="s">
        <v>460</v>
      </c>
      <c r="C81" s="21" t="s">
        <v>131</v>
      </c>
      <c r="D81" s="9" t="s">
        <v>815</v>
      </c>
      <c r="E81" s="9" t="s">
        <v>816</v>
      </c>
      <c r="F81" s="9" t="s">
        <v>251</v>
      </c>
      <c r="G81" s="9" t="s">
        <v>817</v>
      </c>
      <c r="H81" s="21" t="s">
        <v>463</v>
      </c>
      <c r="I81" s="21" t="s">
        <v>464</v>
      </c>
      <c r="J81" s="9" t="s">
        <v>818</v>
      </c>
      <c r="K81" s="9"/>
      <c r="L81" s="9" t="s">
        <v>466</v>
      </c>
      <c r="M81" s="21" t="s">
        <v>467</v>
      </c>
    </row>
    <row r="82" ht="15.75" customHeight="1">
      <c r="A82" s="31" t="s">
        <v>819</v>
      </c>
      <c r="B82" s="32" t="s">
        <v>460</v>
      </c>
      <c r="C82" s="21" t="s">
        <v>131</v>
      </c>
      <c r="D82" s="9" t="s">
        <v>820</v>
      </c>
      <c r="E82" s="9" t="s">
        <v>821</v>
      </c>
      <c r="F82" s="9" t="s">
        <v>251</v>
      </c>
      <c r="G82" s="9" t="s">
        <v>822</v>
      </c>
      <c r="H82" s="21" t="s">
        <v>463</v>
      </c>
      <c r="I82" s="21" t="s">
        <v>464</v>
      </c>
      <c r="J82" s="9" t="s">
        <v>823</v>
      </c>
      <c r="K82" s="9"/>
      <c r="L82" s="9" t="s">
        <v>466</v>
      </c>
      <c r="M82" s="21" t="s">
        <v>467</v>
      </c>
    </row>
    <row r="83" ht="15.75" customHeight="1">
      <c r="A83" s="31" t="s">
        <v>824</v>
      </c>
      <c r="B83" s="32" t="s">
        <v>460</v>
      </c>
      <c r="C83" s="21" t="s">
        <v>131</v>
      </c>
      <c r="D83" s="9" t="s">
        <v>825</v>
      </c>
      <c r="E83" s="9" t="s">
        <v>826</v>
      </c>
      <c r="F83" s="9" t="s">
        <v>349</v>
      </c>
      <c r="G83" s="9" t="s">
        <v>342</v>
      </c>
      <c r="H83" s="21" t="s">
        <v>463</v>
      </c>
      <c r="I83" s="21" t="s">
        <v>464</v>
      </c>
      <c r="J83" s="9" t="s">
        <v>827</v>
      </c>
      <c r="K83" s="9"/>
      <c r="L83" s="9" t="s">
        <v>466</v>
      </c>
      <c r="M83" s="21" t="s">
        <v>467</v>
      </c>
    </row>
    <row r="84" ht="15.75" customHeight="1">
      <c r="A84" s="31" t="s">
        <v>828</v>
      </c>
      <c r="B84" s="32" t="s">
        <v>460</v>
      </c>
      <c r="C84" s="21" t="s">
        <v>131</v>
      </c>
      <c r="D84" s="9" t="s">
        <v>829</v>
      </c>
      <c r="E84" s="9" t="s">
        <v>830</v>
      </c>
      <c r="F84" s="9" t="s">
        <v>349</v>
      </c>
      <c r="G84" s="9" t="s">
        <v>342</v>
      </c>
      <c r="H84" s="21" t="s">
        <v>463</v>
      </c>
      <c r="I84" s="21" t="s">
        <v>464</v>
      </c>
      <c r="J84" s="9" t="s">
        <v>831</v>
      </c>
      <c r="K84" s="9"/>
      <c r="L84" s="9" t="s">
        <v>466</v>
      </c>
      <c r="M84" s="21" t="s">
        <v>467</v>
      </c>
    </row>
    <row r="85" ht="15.75" customHeight="1">
      <c r="A85" s="31" t="s">
        <v>832</v>
      </c>
      <c r="B85" s="32" t="s">
        <v>460</v>
      </c>
      <c r="C85" s="21" t="s">
        <v>131</v>
      </c>
      <c r="D85" s="9" t="s">
        <v>833</v>
      </c>
      <c r="E85" s="9" t="s">
        <v>834</v>
      </c>
      <c r="F85" s="9" t="s">
        <v>349</v>
      </c>
      <c r="G85" s="9" t="s">
        <v>342</v>
      </c>
      <c r="H85" s="21" t="s">
        <v>556</v>
      </c>
      <c r="I85" s="21" t="s">
        <v>557</v>
      </c>
      <c r="J85" s="9" t="s">
        <v>835</v>
      </c>
      <c r="K85" s="9"/>
      <c r="L85" s="9" t="s">
        <v>466</v>
      </c>
      <c r="M85" s="21" t="s">
        <v>467</v>
      </c>
    </row>
    <row r="86" ht="15.75" customHeight="1">
      <c r="A86" s="31" t="s">
        <v>836</v>
      </c>
      <c r="B86" s="32" t="s">
        <v>460</v>
      </c>
      <c r="C86" s="21" t="s">
        <v>131</v>
      </c>
      <c r="D86" s="9" t="s">
        <v>837</v>
      </c>
      <c r="E86" s="9" t="s">
        <v>838</v>
      </c>
      <c r="F86" s="9" t="s">
        <v>317</v>
      </c>
      <c r="G86" s="9" t="s">
        <v>839</v>
      </c>
      <c r="H86" s="21" t="s">
        <v>463</v>
      </c>
      <c r="I86" s="21" t="s">
        <v>464</v>
      </c>
      <c r="J86" s="9" t="s">
        <v>840</v>
      </c>
      <c r="K86" s="9"/>
      <c r="L86" s="9" t="s">
        <v>466</v>
      </c>
      <c r="M86" s="21" t="s">
        <v>467</v>
      </c>
    </row>
    <row r="87" ht="15.75" customHeight="1">
      <c r="A87" s="31" t="s">
        <v>841</v>
      </c>
      <c r="B87" s="32" t="s">
        <v>460</v>
      </c>
      <c r="C87" s="21" t="s">
        <v>131</v>
      </c>
      <c r="D87" s="9" t="s">
        <v>842</v>
      </c>
      <c r="E87" s="9" t="s">
        <v>843</v>
      </c>
      <c r="F87" s="9" t="s">
        <v>349</v>
      </c>
      <c r="G87" s="9" t="s">
        <v>844</v>
      </c>
      <c r="H87" s="21" t="s">
        <v>556</v>
      </c>
      <c r="I87" s="21" t="s">
        <v>557</v>
      </c>
      <c r="J87" s="9" t="s">
        <v>845</v>
      </c>
      <c r="K87" s="9"/>
      <c r="L87" s="9" t="s">
        <v>466</v>
      </c>
      <c r="M87" s="21" t="s">
        <v>467</v>
      </c>
    </row>
    <row r="88" ht="15.75" customHeight="1">
      <c r="A88" s="31" t="s">
        <v>846</v>
      </c>
      <c r="B88" s="32" t="s">
        <v>460</v>
      </c>
      <c r="C88" s="21" t="s">
        <v>131</v>
      </c>
      <c r="D88" s="9" t="s">
        <v>847</v>
      </c>
      <c r="E88" s="9" t="s">
        <v>848</v>
      </c>
      <c r="F88" s="9" t="s">
        <v>349</v>
      </c>
      <c r="G88" s="9" t="s">
        <v>849</v>
      </c>
      <c r="H88" s="21" t="s">
        <v>556</v>
      </c>
      <c r="I88" s="21" t="s">
        <v>557</v>
      </c>
      <c r="J88" s="9" t="s">
        <v>850</v>
      </c>
      <c r="K88" s="9"/>
      <c r="L88" s="9" t="s">
        <v>466</v>
      </c>
      <c r="M88" s="21" t="s">
        <v>467</v>
      </c>
    </row>
    <row r="89" ht="15.75" customHeight="1">
      <c r="A89" s="31" t="s">
        <v>851</v>
      </c>
      <c r="B89" s="32" t="s">
        <v>460</v>
      </c>
      <c r="C89" s="21" t="s">
        <v>133</v>
      </c>
      <c r="D89" s="9" t="s">
        <v>852</v>
      </c>
      <c r="E89" s="9" t="s">
        <v>853</v>
      </c>
      <c r="F89" s="9" t="s">
        <v>349</v>
      </c>
      <c r="G89" s="9" t="s">
        <v>410</v>
      </c>
      <c r="H89" s="21" t="s">
        <v>463</v>
      </c>
      <c r="I89" s="21" t="s">
        <v>464</v>
      </c>
      <c r="J89" s="9" t="s">
        <v>854</v>
      </c>
      <c r="K89" s="9"/>
      <c r="L89" s="9" t="s">
        <v>466</v>
      </c>
      <c r="M89" s="21" t="s">
        <v>467</v>
      </c>
    </row>
    <row r="90" ht="15.75" customHeight="1">
      <c r="A90" s="31" t="s">
        <v>855</v>
      </c>
      <c r="B90" s="32" t="s">
        <v>460</v>
      </c>
      <c r="C90" s="21" t="s">
        <v>133</v>
      </c>
      <c r="D90" s="9" t="s">
        <v>856</v>
      </c>
      <c r="E90" s="9" t="s">
        <v>857</v>
      </c>
      <c r="F90" s="9" t="s">
        <v>284</v>
      </c>
      <c r="G90" s="9" t="s">
        <v>858</v>
      </c>
      <c r="H90" s="21" t="s">
        <v>463</v>
      </c>
      <c r="I90" s="21" t="s">
        <v>464</v>
      </c>
      <c r="J90" s="9" t="s">
        <v>859</v>
      </c>
      <c r="K90" s="9"/>
      <c r="L90" s="9" t="s">
        <v>466</v>
      </c>
      <c r="M90" s="21" t="s">
        <v>467</v>
      </c>
    </row>
    <row r="91" ht="15.75" customHeight="1">
      <c r="A91" s="31" t="s">
        <v>860</v>
      </c>
      <c r="B91" s="32" t="s">
        <v>460</v>
      </c>
      <c r="C91" s="21" t="s">
        <v>133</v>
      </c>
      <c r="D91" s="9" t="s">
        <v>861</v>
      </c>
      <c r="E91" s="9" t="s">
        <v>862</v>
      </c>
      <c r="F91" s="9" t="s">
        <v>215</v>
      </c>
      <c r="G91" s="9" t="s">
        <v>406</v>
      </c>
      <c r="H91" s="21" t="s">
        <v>482</v>
      </c>
      <c r="I91" s="21" t="s">
        <v>483</v>
      </c>
      <c r="J91" s="9" t="s">
        <v>863</v>
      </c>
      <c r="K91" s="9"/>
      <c r="L91" s="9" t="s">
        <v>466</v>
      </c>
      <c r="M91" s="21" t="s">
        <v>467</v>
      </c>
    </row>
    <row r="92" ht="15.75" customHeight="1">
      <c r="A92" s="31" t="s">
        <v>864</v>
      </c>
      <c r="B92" s="32" t="s">
        <v>460</v>
      </c>
      <c r="C92" s="21" t="s">
        <v>133</v>
      </c>
      <c r="D92" s="9" t="s">
        <v>865</v>
      </c>
      <c r="E92" s="9" t="s">
        <v>866</v>
      </c>
      <c r="F92" s="9" t="s">
        <v>349</v>
      </c>
      <c r="G92" s="9" t="s">
        <v>408</v>
      </c>
      <c r="H92" s="21" t="s">
        <v>482</v>
      </c>
      <c r="I92" s="21" t="s">
        <v>483</v>
      </c>
      <c r="J92" s="9" t="s">
        <v>867</v>
      </c>
      <c r="K92" s="9"/>
      <c r="L92" s="9" t="s">
        <v>466</v>
      </c>
      <c r="M92" s="21" t="s">
        <v>467</v>
      </c>
    </row>
    <row r="93" ht="15.75" customHeight="1">
      <c r="A93" s="31" t="s">
        <v>868</v>
      </c>
      <c r="B93" s="32" t="s">
        <v>460</v>
      </c>
      <c r="C93" s="21" t="s">
        <v>133</v>
      </c>
      <c r="D93" s="9" t="s">
        <v>869</v>
      </c>
      <c r="E93" s="9" t="s">
        <v>870</v>
      </c>
      <c r="F93" s="9" t="s">
        <v>349</v>
      </c>
      <c r="G93" s="9" t="s">
        <v>410</v>
      </c>
      <c r="H93" s="21" t="s">
        <v>556</v>
      </c>
      <c r="I93" s="21" t="s">
        <v>557</v>
      </c>
      <c r="J93" s="9" t="s">
        <v>871</v>
      </c>
      <c r="K93" s="9"/>
      <c r="L93" s="9" t="s">
        <v>466</v>
      </c>
      <c r="M93" s="21" t="s">
        <v>467</v>
      </c>
    </row>
    <row r="94" ht="15.75" customHeight="1">
      <c r="A94" s="31" t="s">
        <v>872</v>
      </c>
      <c r="B94" s="32" t="s">
        <v>460</v>
      </c>
      <c r="C94" s="21" t="s">
        <v>135</v>
      </c>
      <c r="D94" s="9" t="s">
        <v>873</v>
      </c>
      <c r="E94" s="9" t="s">
        <v>874</v>
      </c>
      <c r="F94" s="9" t="s">
        <v>284</v>
      </c>
      <c r="G94" s="9" t="s">
        <v>412</v>
      </c>
      <c r="H94" s="21" t="s">
        <v>463</v>
      </c>
      <c r="I94" s="21" t="s">
        <v>464</v>
      </c>
      <c r="J94" s="9" t="s">
        <v>875</v>
      </c>
      <c r="K94" s="9"/>
      <c r="L94" s="9" t="s">
        <v>466</v>
      </c>
      <c r="M94" s="21" t="s">
        <v>467</v>
      </c>
    </row>
    <row r="95" ht="15.75" customHeight="1">
      <c r="A95" s="31" t="s">
        <v>876</v>
      </c>
      <c r="B95" s="32" t="s">
        <v>460</v>
      </c>
      <c r="C95" s="21" t="s">
        <v>135</v>
      </c>
      <c r="D95" s="9" t="s">
        <v>877</v>
      </c>
      <c r="E95" s="9" t="s">
        <v>878</v>
      </c>
      <c r="F95" s="9" t="s">
        <v>284</v>
      </c>
      <c r="G95" s="9" t="s">
        <v>414</v>
      </c>
      <c r="H95" s="21" t="s">
        <v>463</v>
      </c>
      <c r="I95" s="21" t="s">
        <v>464</v>
      </c>
      <c r="J95" s="9" t="s">
        <v>879</v>
      </c>
      <c r="K95" s="9"/>
      <c r="L95" s="9" t="s">
        <v>466</v>
      </c>
      <c r="M95" s="21" t="s">
        <v>467</v>
      </c>
    </row>
    <row r="96" ht="15.75" customHeight="1">
      <c r="A96" s="31" t="s">
        <v>880</v>
      </c>
      <c r="B96" s="32" t="s">
        <v>460</v>
      </c>
      <c r="C96" s="21" t="s">
        <v>135</v>
      </c>
      <c r="D96" s="9" t="s">
        <v>881</v>
      </c>
      <c r="E96" s="9" t="s">
        <v>882</v>
      </c>
      <c r="F96" s="9" t="s">
        <v>317</v>
      </c>
      <c r="G96" s="9" t="s">
        <v>883</v>
      </c>
      <c r="H96" s="21" t="s">
        <v>463</v>
      </c>
      <c r="I96" s="21" t="s">
        <v>464</v>
      </c>
      <c r="J96" s="9" t="s">
        <v>884</v>
      </c>
      <c r="K96" s="9"/>
      <c r="L96" s="9" t="s">
        <v>466</v>
      </c>
      <c r="M96" s="21" t="s">
        <v>467</v>
      </c>
    </row>
    <row r="97" ht="15.75" customHeight="1">
      <c r="A97" s="31" t="s">
        <v>885</v>
      </c>
      <c r="B97" s="32" t="s">
        <v>460</v>
      </c>
      <c r="C97" s="21" t="s">
        <v>135</v>
      </c>
      <c r="D97" s="9" t="s">
        <v>886</v>
      </c>
      <c r="E97" s="9" t="s">
        <v>887</v>
      </c>
      <c r="F97" s="9" t="s">
        <v>284</v>
      </c>
      <c r="G97" s="9" t="s">
        <v>414</v>
      </c>
      <c r="H97" s="21" t="s">
        <v>482</v>
      </c>
      <c r="I97" s="21" t="s">
        <v>483</v>
      </c>
      <c r="J97" s="9" t="s">
        <v>888</v>
      </c>
      <c r="K97" s="9"/>
      <c r="L97" s="9" t="s">
        <v>466</v>
      </c>
      <c r="M97" s="21" t="s">
        <v>467</v>
      </c>
    </row>
    <row r="98" ht="15.75" customHeight="1">
      <c r="A98" s="31" t="s">
        <v>889</v>
      </c>
      <c r="B98" s="32" t="s">
        <v>460</v>
      </c>
      <c r="C98" s="21" t="s">
        <v>135</v>
      </c>
      <c r="D98" s="9" t="s">
        <v>890</v>
      </c>
      <c r="E98" s="9" t="s">
        <v>891</v>
      </c>
      <c r="F98" s="9" t="s">
        <v>215</v>
      </c>
      <c r="G98" s="9" t="s">
        <v>892</v>
      </c>
      <c r="H98" s="21" t="s">
        <v>463</v>
      </c>
      <c r="I98" s="21" t="s">
        <v>464</v>
      </c>
      <c r="J98" s="9" t="s">
        <v>893</v>
      </c>
      <c r="K98" s="9"/>
      <c r="L98" s="9" t="s">
        <v>466</v>
      </c>
      <c r="M98" s="21" t="s">
        <v>467</v>
      </c>
    </row>
    <row r="99" ht="15.75" customHeight="1">
      <c r="A99" s="31" t="s">
        <v>894</v>
      </c>
      <c r="B99" s="32" t="s">
        <v>460</v>
      </c>
      <c r="C99" s="21" t="s">
        <v>137</v>
      </c>
      <c r="D99" s="9" t="s">
        <v>415</v>
      </c>
      <c r="E99" s="9" t="s">
        <v>895</v>
      </c>
      <c r="F99" s="9" t="s">
        <v>284</v>
      </c>
      <c r="G99" s="9" t="s">
        <v>416</v>
      </c>
      <c r="H99" s="21" t="s">
        <v>463</v>
      </c>
      <c r="I99" s="21" t="s">
        <v>464</v>
      </c>
      <c r="J99" s="9" t="s">
        <v>896</v>
      </c>
      <c r="K99" s="9"/>
      <c r="L99" s="9" t="s">
        <v>466</v>
      </c>
      <c r="M99" s="21" t="s">
        <v>467</v>
      </c>
    </row>
    <row r="100" ht="15.75" customHeight="1">
      <c r="A100" s="31" t="s">
        <v>897</v>
      </c>
      <c r="B100" s="32" t="s">
        <v>460</v>
      </c>
      <c r="C100" s="21" t="s">
        <v>137</v>
      </c>
      <c r="D100" s="9" t="s">
        <v>898</v>
      </c>
      <c r="E100" s="9" t="s">
        <v>899</v>
      </c>
      <c r="F100" s="9" t="s">
        <v>348</v>
      </c>
      <c r="G100" s="9" t="s">
        <v>418</v>
      </c>
      <c r="H100" s="21" t="s">
        <v>463</v>
      </c>
      <c r="I100" s="21" t="s">
        <v>464</v>
      </c>
      <c r="J100" s="9" t="s">
        <v>900</v>
      </c>
      <c r="K100" s="9"/>
      <c r="L100" s="9" t="s">
        <v>466</v>
      </c>
      <c r="M100" s="21" t="s">
        <v>467</v>
      </c>
    </row>
    <row r="101" ht="15.75" customHeight="1">
      <c r="A101" s="31" t="s">
        <v>901</v>
      </c>
      <c r="B101" s="32" t="s">
        <v>460</v>
      </c>
      <c r="C101" s="21" t="s">
        <v>137</v>
      </c>
      <c r="D101" s="9" t="s">
        <v>902</v>
      </c>
      <c r="E101" s="9" t="s">
        <v>903</v>
      </c>
      <c r="F101" s="9" t="s">
        <v>348</v>
      </c>
      <c r="G101" s="9" t="s">
        <v>418</v>
      </c>
      <c r="H101" s="21" t="s">
        <v>463</v>
      </c>
      <c r="I101" s="21" t="s">
        <v>464</v>
      </c>
      <c r="J101" s="9" t="s">
        <v>904</v>
      </c>
      <c r="K101" s="9"/>
      <c r="L101" s="9" t="s">
        <v>466</v>
      </c>
      <c r="M101" s="21" t="s">
        <v>467</v>
      </c>
    </row>
    <row r="102" ht="15.75" customHeight="1">
      <c r="A102" s="31" t="s">
        <v>905</v>
      </c>
      <c r="B102" s="32" t="s">
        <v>460</v>
      </c>
      <c r="C102" s="21" t="s">
        <v>137</v>
      </c>
      <c r="D102" s="9" t="s">
        <v>906</v>
      </c>
      <c r="E102" s="9" t="s">
        <v>907</v>
      </c>
      <c r="F102" s="9" t="s">
        <v>349</v>
      </c>
      <c r="G102" s="9" t="s">
        <v>420</v>
      </c>
      <c r="H102" s="21" t="s">
        <v>463</v>
      </c>
      <c r="I102" s="21" t="s">
        <v>464</v>
      </c>
      <c r="J102" s="9" t="s">
        <v>908</v>
      </c>
      <c r="K102" s="9"/>
      <c r="L102" s="9" t="s">
        <v>466</v>
      </c>
      <c r="M102" s="21" t="s">
        <v>467</v>
      </c>
    </row>
    <row r="103" ht="15.75" customHeight="1">
      <c r="A103" s="31" t="s">
        <v>909</v>
      </c>
      <c r="B103" s="32" t="s">
        <v>460</v>
      </c>
      <c r="C103" s="21" t="s">
        <v>137</v>
      </c>
      <c r="D103" s="9" t="s">
        <v>910</v>
      </c>
      <c r="E103" s="9" t="s">
        <v>911</v>
      </c>
      <c r="F103" s="9" t="s">
        <v>284</v>
      </c>
      <c r="G103" s="9" t="s">
        <v>418</v>
      </c>
      <c r="H103" s="21" t="s">
        <v>556</v>
      </c>
      <c r="I103" s="21" t="s">
        <v>557</v>
      </c>
      <c r="J103" s="9" t="s">
        <v>912</v>
      </c>
      <c r="K103" s="9"/>
      <c r="L103" s="9" t="s">
        <v>466</v>
      </c>
      <c r="M103" s="21" t="s">
        <v>467</v>
      </c>
    </row>
    <row r="104" ht="15.75" customHeight="1">
      <c r="A104" s="31" t="s">
        <v>913</v>
      </c>
      <c r="B104" s="32" t="s">
        <v>460</v>
      </c>
      <c r="C104" s="21" t="s">
        <v>137</v>
      </c>
      <c r="D104" s="9" t="s">
        <v>914</v>
      </c>
      <c r="E104" s="9" t="s">
        <v>915</v>
      </c>
      <c r="F104" s="9" t="s">
        <v>349</v>
      </c>
      <c r="G104" s="9" t="s">
        <v>916</v>
      </c>
      <c r="H104" s="21" t="s">
        <v>556</v>
      </c>
      <c r="I104" s="21" t="s">
        <v>557</v>
      </c>
      <c r="J104" s="9" t="s">
        <v>917</v>
      </c>
      <c r="K104" s="9"/>
      <c r="L104" s="9" t="s">
        <v>466</v>
      </c>
      <c r="M104" s="21" t="s">
        <v>467</v>
      </c>
    </row>
    <row r="105" ht="15.75" customHeight="1">
      <c r="A105" s="31" t="s">
        <v>918</v>
      </c>
      <c r="B105" s="32" t="s">
        <v>460</v>
      </c>
      <c r="C105" s="21" t="s">
        <v>139</v>
      </c>
      <c r="D105" s="9" t="s">
        <v>919</v>
      </c>
      <c r="E105" s="9" t="s">
        <v>920</v>
      </c>
      <c r="F105" s="9" t="s">
        <v>284</v>
      </c>
      <c r="G105" s="9" t="s">
        <v>422</v>
      </c>
      <c r="H105" s="21" t="s">
        <v>463</v>
      </c>
      <c r="I105" s="21" t="s">
        <v>464</v>
      </c>
      <c r="J105" s="9" t="s">
        <v>921</v>
      </c>
      <c r="K105" s="9"/>
      <c r="L105" s="9" t="s">
        <v>466</v>
      </c>
      <c r="M105" s="21" t="s">
        <v>467</v>
      </c>
    </row>
    <row r="106" ht="15.75" customHeight="1">
      <c r="A106" s="31" t="s">
        <v>922</v>
      </c>
      <c r="B106" s="32" t="s">
        <v>460</v>
      </c>
      <c r="C106" s="21" t="s">
        <v>139</v>
      </c>
      <c r="D106" s="9" t="s">
        <v>923</v>
      </c>
      <c r="E106" s="9" t="s">
        <v>924</v>
      </c>
      <c r="F106" s="9" t="s">
        <v>284</v>
      </c>
      <c r="G106" s="9" t="s">
        <v>925</v>
      </c>
      <c r="H106" s="21" t="s">
        <v>463</v>
      </c>
      <c r="I106" s="21" t="s">
        <v>464</v>
      </c>
      <c r="J106" s="9" t="s">
        <v>926</v>
      </c>
      <c r="K106" s="9"/>
      <c r="L106" s="9" t="s">
        <v>466</v>
      </c>
      <c r="M106" s="21" t="s">
        <v>467</v>
      </c>
    </row>
    <row r="107" ht="15.75" customHeight="1">
      <c r="A107" s="31" t="s">
        <v>927</v>
      </c>
      <c r="B107" s="32" t="s">
        <v>460</v>
      </c>
      <c r="C107" s="21" t="s">
        <v>139</v>
      </c>
      <c r="D107" s="9" t="s">
        <v>928</v>
      </c>
      <c r="E107" s="9" t="s">
        <v>929</v>
      </c>
      <c r="F107" s="9" t="s">
        <v>253</v>
      </c>
      <c r="G107" s="9" t="s">
        <v>930</v>
      </c>
      <c r="H107" s="21" t="s">
        <v>463</v>
      </c>
      <c r="I107" s="21" t="s">
        <v>464</v>
      </c>
      <c r="J107" s="9" t="s">
        <v>931</v>
      </c>
      <c r="K107" s="9"/>
      <c r="L107" s="9" t="s">
        <v>466</v>
      </c>
      <c r="M107" s="21" t="s">
        <v>467</v>
      </c>
    </row>
    <row r="108" ht="15.75" customHeight="1">
      <c r="A108" s="31" t="s">
        <v>932</v>
      </c>
      <c r="B108" s="32" t="s">
        <v>460</v>
      </c>
      <c r="C108" s="21" t="s">
        <v>139</v>
      </c>
      <c r="D108" s="9" t="s">
        <v>933</v>
      </c>
      <c r="E108" s="9" t="s">
        <v>934</v>
      </c>
      <c r="F108" s="9" t="s">
        <v>284</v>
      </c>
      <c r="G108" s="9" t="s">
        <v>422</v>
      </c>
      <c r="H108" s="21" t="s">
        <v>556</v>
      </c>
      <c r="I108" s="21" t="s">
        <v>557</v>
      </c>
      <c r="J108" s="9" t="s">
        <v>935</v>
      </c>
      <c r="K108" s="9"/>
      <c r="L108" s="9" t="s">
        <v>466</v>
      </c>
      <c r="M108" s="21" t="s">
        <v>467</v>
      </c>
    </row>
    <row r="109" ht="15.75" customHeight="1">
      <c r="A109" s="31" t="s">
        <v>936</v>
      </c>
      <c r="B109" s="32" t="s">
        <v>460</v>
      </c>
      <c r="C109" s="21" t="s">
        <v>139</v>
      </c>
      <c r="D109" s="9" t="s">
        <v>937</v>
      </c>
      <c r="E109" s="9" t="s">
        <v>938</v>
      </c>
      <c r="F109" s="9" t="s">
        <v>284</v>
      </c>
      <c r="G109" s="9" t="s">
        <v>422</v>
      </c>
      <c r="H109" s="21" t="s">
        <v>482</v>
      </c>
      <c r="I109" s="21" t="s">
        <v>483</v>
      </c>
      <c r="J109" s="9" t="s">
        <v>939</v>
      </c>
      <c r="K109" s="9"/>
      <c r="L109" s="9" t="s">
        <v>466</v>
      </c>
      <c r="M109" s="21" t="s">
        <v>467</v>
      </c>
    </row>
    <row r="110" ht="15.75" customHeight="1">
      <c r="A110" s="31" t="s">
        <v>940</v>
      </c>
      <c r="B110" s="32" t="s">
        <v>460</v>
      </c>
      <c r="C110" s="21" t="s">
        <v>141</v>
      </c>
      <c r="D110" s="9" t="s">
        <v>941</v>
      </c>
      <c r="E110" s="9" t="s">
        <v>942</v>
      </c>
      <c r="F110" s="9" t="s">
        <v>317</v>
      </c>
      <c r="G110" s="9" t="s">
        <v>425</v>
      </c>
      <c r="H110" s="21" t="s">
        <v>463</v>
      </c>
      <c r="I110" s="21" t="s">
        <v>464</v>
      </c>
      <c r="J110" s="9" t="s">
        <v>943</v>
      </c>
      <c r="K110" s="9"/>
      <c r="L110" s="9" t="s">
        <v>466</v>
      </c>
      <c r="M110" s="21" t="s">
        <v>467</v>
      </c>
    </row>
    <row r="111" ht="15.75" customHeight="1">
      <c r="A111" s="31" t="s">
        <v>944</v>
      </c>
      <c r="B111" s="32" t="s">
        <v>460</v>
      </c>
      <c r="C111" s="21" t="s">
        <v>141</v>
      </c>
      <c r="D111" s="9" t="s">
        <v>945</v>
      </c>
      <c r="E111" s="9" t="s">
        <v>946</v>
      </c>
      <c r="F111" s="9" t="s">
        <v>348</v>
      </c>
      <c r="G111" s="9" t="s">
        <v>425</v>
      </c>
      <c r="H111" s="21" t="s">
        <v>463</v>
      </c>
      <c r="I111" s="21" t="s">
        <v>464</v>
      </c>
      <c r="J111" s="9" t="s">
        <v>947</v>
      </c>
      <c r="K111" s="9"/>
      <c r="L111" s="9" t="s">
        <v>466</v>
      </c>
      <c r="M111" s="21" t="s">
        <v>467</v>
      </c>
    </row>
    <row r="112" ht="15.75" customHeight="1">
      <c r="A112" s="31" t="s">
        <v>948</v>
      </c>
      <c r="B112" s="32" t="s">
        <v>460</v>
      </c>
      <c r="C112" s="21" t="s">
        <v>141</v>
      </c>
      <c r="D112" s="9" t="s">
        <v>426</v>
      </c>
      <c r="E112" s="9" t="s">
        <v>949</v>
      </c>
      <c r="F112" s="9" t="s">
        <v>284</v>
      </c>
      <c r="G112" s="9" t="s">
        <v>427</v>
      </c>
      <c r="H112" s="21" t="s">
        <v>463</v>
      </c>
      <c r="I112" s="21" t="s">
        <v>464</v>
      </c>
      <c r="J112" s="9" t="s">
        <v>950</v>
      </c>
      <c r="K112" s="9"/>
      <c r="L112" s="9" t="s">
        <v>466</v>
      </c>
      <c r="M112" s="21" t="s">
        <v>467</v>
      </c>
    </row>
    <row r="113" ht="15.75" customHeight="1">
      <c r="A113" s="31" t="s">
        <v>951</v>
      </c>
      <c r="B113" s="32" t="s">
        <v>460</v>
      </c>
      <c r="C113" s="21" t="s">
        <v>141</v>
      </c>
      <c r="D113" s="9" t="s">
        <v>428</v>
      </c>
      <c r="E113" s="9" t="s">
        <v>952</v>
      </c>
      <c r="F113" s="9" t="s">
        <v>349</v>
      </c>
      <c r="G113" s="9" t="s">
        <v>429</v>
      </c>
      <c r="H113" s="21" t="s">
        <v>463</v>
      </c>
      <c r="I113" s="21" t="s">
        <v>464</v>
      </c>
      <c r="J113" s="9" t="s">
        <v>953</v>
      </c>
      <c r="K113" s="9"/>
      <c r="L113" s="9" t="s">
        <v>466</v>
      </c>
      <c r="M113" s="21" t="s">
        <v>467</v>
      </c>
    </row>
    <row r="114" ht="15.75" customHeight="1">
      <c r="A114" s="31" t="s">
        <v>954</v>
      </c>
      <c r="B114" s="32" t="s">
        <v>460</v>
      </c>
      <c r="C114" s="21" t="s">
        <v>141</v>
      </c>
      <c r="D114" s="9" t="s">
        <v>955</v>
      </c>
      <c r="E114" s="9" t="s">
        <v>956</v>
      </c>
      <c r="F114" s="9" t="s">
        <v>251</v>
      </c>
      <c r="G114" s="9" t="s">
        <v>957</v>
      </c>
      <c r="H114" s="21" t="s">
        <v>556</v>
      </c>
      <c r="I114" s="21" t="s">
        <v>557</v>
      </c>
      <c r="J114" s="9" t="s">
        <v>958</v>
      </c>
      <c r="K114" s="9"/>
      <c r="L114" s="9" t="s">
        <v>466</v>
      </c>
      <c r="M114" s="21" t="s">
        <v>467</v>
      </c>
    </row>
    <row r="115" ht="15.75" customHeight="1">
      <c r="A115" s="31" t="s">
        <v>959</v>
      </c>
      <c r="B115" s="32" t="s">
        <v>460</v>
      </c>
      <c r="C115" s="21" t="s">
        <v>143</v>
      </c>
      <c r="D115" s="9" t="s">
        <v>960</v>
      </c>
      <c r="E115" s="9" t="s">
        <v>961</v>
      </c>
      <c r="F115" s="9" t="s">
        <v>349</v>
      </c>
      <c r="G115" s="9" t="s">
        <v>432</v>
      </c>
      <c r="H115" s="21" t="s">
        <v>463</v>
      </c>
      <c r="I115" s="21" t="s">
        <v>464</v>
      </c>
      <c r="J115" s="9" t="s">
        <v>962</v>
      </c>
      <c r="K115" s="9"/>
      <c r="L115" s="9" t="s">
        <v>466</v>
      </c>
      <c r="M115" s="21" t="s">
        <v>467</v>
      </c>
    </row>
    <row r="116" ht="15.75" customHeight="1">
      <c r="A116" s="31" t="s">
        <v>963</v>
      </c>
      <c r="B116" s="32" t="s">
        <v>460</v>
      </c>
      <c r="C116" s="21" t="s">
        <v>143</v>
      </c>
      <c r="D116" s="9" t="s">
        <v>964</v>
      </c>
      <c r="E116" s="9" t="s">
        <v>965</v>
      </c>
      <c r="F116" s="9" t="s">
        <v>349</v>
      </c>
      <c r="G116" s="9" t="s">
        <v>432</v>
      </c>
      <c r="H116" s="21" t="s">
        <v>463</v>
      </c>
      <c r="I116" s="21" t="s">
        <v>464</v>
      </c>
      <c r="J116" s="9" t="s">
        <v>966</v>
      </c>
      <c r="K116" s="9"/>
      <c r="L116" s="9" t="s">
        <v>466</v>
      </c>
      <c r="M116" s="21" t="s">
        <v>467</v>
      </c>
    </row>
    <row r="117" ht="15.75" customHeight="1">
      <c r="A117" s="31" t="s">
        <v>967</v>
      </c>
      <c r="B117" s="32" t="s">
        <v>460</v>
      </c>
      <c r="C117" s="21" t="s">
        <v>143</v>
      </c>
      <c r="D117" s="9" t="s">
        <v>433</v>
      </c>
      <c r="E117" s="9" t="s">
        <v>968</v>
      </c>
      <c r="F117" s="9" t="s">
        <v>349</v>
      </c>
      <c r="G117" s="9" t="s">
        <v>434</v>
      </c>
      <c r="H117" s="21" t="s">
        <v>463</v>
      </c>
      <c r="I117" s="21" t="s">
        <v>464</v>
      </c>
      <c r="J117" s="9" t="s">
        <v>969</v>
      </c>
      <c r="K117" s="9"/>
      <c r="L117" s="9" t="s">
        <v>466</v>
      </c>
      <c r="M117" s="21" t="s">
        <v>467</v>
      </c>
    </row>
    <row r="118" ht="15.75" customHeight="1">
      <c r="A118" s="31" t="s">
        <v>970</v>
      </c>
      <c r="B118" s="32" t="s">
        <v>460</v>
      </c>
      <c r="C118" s="21" t="s">
        <v>143</v>
      </c>
      <c r="D118" s="9" t="s">
        <v>971</v>
      </c>
      <c r="E118" s="9" t="s">
        <v>972</v>
      </c>
      <c r="F118" s="9" t="s">
        <v>349</v>
      </c>
      <c r="G118" s="9" t="s">
        <v>436</v>
      </c>
      <c r="H118" s="21" t="s">
        <v>463</v>
      </c>
      <c r="I118" s="21" t="s">
        <v>464</v>
      </c>
      <c r="J118" s="9" t="s">
        <v>973</v>
      </c>
      <c r="K118" s="9"/>
      <c r="L118" s="9" t="s">
        <v>466</v>
      </c>
      <c r="M118" s="21" t="s">
        <v>467</v>
      </c>
    </row>
    <row r="119" ht="15.75" customHeight="1">
      <c r="A119" s="31" t="s">
        <v>974</v>
      </c>
      <c r="B119" s="32" t="s">
        <v>460</v>
      </c>
      <c r="C119" s="21" t="s">
        <v>143</v>
      </c>
      <c r="D119" s="9" t="s">
        <v>975</v>
      </c>
      <c r="E119" s="9" t="s">
        <v>976</v>
      </c>
      <c r="F119" s="9" t="s">
        <v>349</v>
      </c>
      <c r="G119" s="9" t="s">
        <v>436</v>
      </c>
      <c r="H119" s="21" t="s">
        <v>556</v>
      </c>
      <c r="I119" s="21" t="s">
        <v>557</v>
      </c>
      <c r="J119" s="9" t="s">
        <v>977</v>
      </c>
      <c r="K119" s="9"/>
      <c r="L119" s="9" t="s">
        <v>466</v>
      </c>
      <c r="M119" s="21" t="s">
        <v>467</v>
      </c>
    </row>
    <row r="120" ht="15.75" customHeight="1">
      <c r="A120" s="31" t="s">
        <v>978</v>
      </c>
      <c r="B120" s="32" t="s">
        <v>460</v>
      </c>
      <c r="C120" s="21" t="s">
        <v>143</v>
      </c>
      <c r="D120" s="9" t="s">
        <v>437</v>
      </c>
      <c r="E120" s="9" t="s">
        <v>979</v>
      </c>
      <c r="F120" s="9" t="s">
        <v>349</v>
      </c>
      <c r="G120" s="9" t="s">
        <v>438</v>
      </c>
      <c r="H120" s="21" t="s">
        <v>463</v>
      </c>
      <c r="I120" s="21" t="s">
        <v>464</v>
      </c>
      <c r="J120" s="9" t="s">
        <v>980</v>
      </c>
      <c r="K120" s="9"/>
      <c r="L120" s="9" t="s">
        <v>466</v>
      </c>
      <c r="M120" s="21" t="s">
        <v>467</v>
      </c>
    </row>
    <row r="121" ht="15.75" customHeight="1">
      <c r="A121" s="31" t="s">
        <v>981</v>
      </c>
      <c r="B121" s="32" t="s">
        <v>460</v>
      </c>
      <c r="C121" s="21" t="s">
        <v>143</v>
      </c>
      <c r="D121" s="9" t="s">
        <v>982</v>
      </c>
      <c r="E121" s="9" t="s">
        <v>983</v>
      </c>
      <c r="F121" s="9" t="s">
        <v>317</v>
      </c>
      <c r="G121" s="9" t="s">
        <v>444</v>
      </c>
      <c r="H121" s="21" t="s">
        <v>463</v>
      </c>
      <c r="I121" s="21" t="s">
        <v>464</v>
      </c>
      <c r="J121" s="9" t="s">
        <v>984</v>
      </c>
      <c r="K121" s="9"/>
      <c r="L121" s="9" t="s">
        <v>466</v>
      </c>
      <c r="M121" s="21" t="s">
        <v>467</v>
      </c>
    </row>
    <row r="122" ht="15.75" customHeight="1">
      <c r="A122" s="31" t="s">
        <v>985</v>
      </c>
      <c r="B122" s="32" t="s">
        <v>460</v>
      </c>
      <c r="C122" s="21" t="s">
        <v>145</v>
      </c>
      <c r="D122" s="9" t="s">
        <v>986</v>
      </c>
      <c r="E122" s="9" t="s">
        <v>987</v>
      </c>
      <c r="F122" s="9" t="s">
        <v>251</v>
      </c>
      <c r="G122" s="9" t="s">
        <v>440</v>
      </c>
      <c r="H122" s="21" t="s">
        <v>556</v>
      </c>
      <c r="I122" s="21" t="s">
        <v>557</v>
      </c>
      <c r="J122" s="9" t="s">
        <v>988</v>
      </c>
      <c r="K122" s="9"/>
      <c r="L122" s="9" t="s">
        <v>466</v>
      </c>
      <c r="M122" s="21" t="s">
        <v>467</v>
      </c>
    </row>
    <row r="123" ht="15.75" customHeight="1">
      <c r="A123" s="31" t="s">
        <v>989</v>
      </c>
      <c r="B123" s="32" t="s">
        <v>460</v>
      </c>
      <c r="C123" s="21" t="s">
        <v>145</v>
      </c>
      <c r="D123" s="9" t="s">
        <v>990</v>
      </c>
      <c r="E123" s="9" t="s">
        <v>991</v>
      </c>
      <c r="F123" s="9" t="s">
        <v>251</v>
      </c>
      <c r="G123" s="9" t="s">
        <v>992</v>
      </c>
      <c r="H123" s="21" t="s">
        <v>556</v>
      </c>
      <c r="I123" s="21" t="s">
        <v>557</v>
      </c>
      <c r="J123" s="9" t="s">
        <v>993</v>
      </c>
      <c r="K123" s="9"/>
      <c r="L123" s="9" t="s">
        <v>466</v>
      </c>
      <c r="M123" s="21" t="s">
        <v>467</v>
      </c>
    </row>
    <row r="124" ht="15.75" customHeight="1">
      <c r="A124" s="31" t="s">
        <v>994</v>
      </c>
      <c r="B124" s="32" t="s">
        <v>460</v>
      </c>
      <c r="C124" s="21" t="s">
        <v>145</v>
      </c>
      <c r="D124" s="9" t="s">
        <v>995</v>
      </c>
      <c r="E124" s="9" t="s">
        <v>996</v>
      </c>
      <c r="F124" s="9" t="s">
        <v>251</v>
      </c>
      <c r="G124" s="9" t="s">
        <v>442</v>
      </c>
      <c r="H124" s="21" t="s">
        <v>482</v>
      </c>
      <c r="I124" s="21" t="s">
        <v>483</v>
      </c>
      <c r="J124" s="9" t="s">
        <v>997</v>
      </c>
      <c r="K124" s="9"/>
      <c r="L124" s="9" t="s">
        <v>466</v>
      </c>
      <c r="M124" s="21" t="s">
        <v>467</v>
      </c>
    </row>
    <row r="125" ht="15.75" customHeight="1">
      <c r="A125" s="31" t="s">
        <v>998</v>
      </c>
      <c r="B125" s="32" t="s">
        <v>460</v>
      </c>
      <c r="C125" s="21" t="s">
        <v>145</v>
      </c>
      <c r="D125" s="9" t="s">
        <v>999</v>
      </c>
      <c r="E125" s="9" t="s">
        <v>1000</v>
      </c>
      <c r="F125" s="9" t="s">
        <v>284</v>
      </c>
      <c r="G125" s="9" t="s">
        <v>442</v>
      </c>
      <c r="H125" s="21" t="s">
        <v>482</v>
      </c>
      <c r="I125" s="21" t="s">
        <v>483</v>
      </c>
      <c r="J125" s="9" t="s">
        <v>1001</v>
      </c>
      <c r="K125" s="9" t="s">
        <v>1002</v>
      </c>
      <c r="L125" s="9" t="s">
        <v>466</v>
      </c>
      <c r="M125" s="21" t="s">
        <v>467</v>
      </c>
    </row>
    <row r="126" ht="15.75" customHeight="1">
      <c r="A126" s="31" t="s">
        <v>1003</v>
      </c>
      <c r="B126" s="32" t="s">
        <v>460</v>
      </c>
      <c r="C126" s="21" t="s">
        <v>147</v>
      </c>
      <c r="D126" s="9" t="s">
        <v>1004</v>
      </c>
      <c r="E126" s="9" t="s">
        <v>1005</v>
      </c>
      <c r="F126" s="9" t="s">
        <v>284</v>
      </c>
      <c r="G126" s="9" t="s">
        <v>1006</v>
      </c>
      <c r="H126" s="21" t="s">
        <v>463</v>
      </c>
      <c r="I126" s="21" t="s">
        <v>464</v>
      </c>
      <c r="J126" s="9" t="s">
        <v>1007</v>
      </c>
      <c r="K126" s="9"/>
      <c r="L126" s="9" t="s">
        <v>466</v>
      </c>
      <c r="M126" s="21" t="s">
        <v>467</v>
      </c>
    </row>
    <row r="127" ht="15.75" customHeight="1">
      <c r="A127" s="31" t="s">
        <v>1008</v>
      </c>
      <c r="B127" s="32" t="s">
        <v>460</v>
      </c>
      <c r="C127" s="21" t="s">
        <v>147</v>
      </c>
      <c r="D127" s="9" t="s">
        <v>1009</v>
      </c>
      <c r="E127" s="9" t="s">
        <v>1010</v>
      </c>
      <c r="F127" s="9" t="s">
        <v>284</v>
      </c>
      <c r="G127" s="9" t="s">
        <v>1011</v>
      </c>
      <c r="H127" s="21" t="s">
        <v>463</v>
      </c>
      <c r="I127" s="21" t="s">
        <v>464</v>
      </c>
      <c r="J127" s="9" t="s">
        <v>1012</v>
      </c>
      <c r="K127" s="9"/>
      <c r="L127" s="9" t="s">
        <v>466</v>
      </c>
      <c r="M127" s="21" t="s">
        <v>467</v>
      </c>
    </row>
    <row r="128" ht="15.75" customHeight="1">
      <c r="A128" s="31" t="s">
        <v>1013</v>
      </c>
      <c r="B128" s="32" t="s">
        <v>460</v>
      </c>
      <c r="C128" s="21" t="s">
        <v>147</v>
      </c>
      <c r="D128" s="9" t="s">
        <v>1014</v>
      </c>
      <c r="E128" s="9" t="s">
        <v>1015</v>
      </c>
      <c r="F128" s="9" t="s">
        <v>284</v>
      </c>
      <c r="G128" s="9" t="s">
        <v>1016</v>
      </c>
      <c r="H128" s="21" t="s">
        <v>556</v>
      </c>
      <c r="I128" s="21" t="s">
        <v>557</v>
      </c>
      <c r="J128" s="9" t="s">
        <v>1017</v>
      </c>
      <c r="K128" s="9"/>
      <c r="L128" s="9" t="s">
        <v>466</v>
      </c>
      <c r="M128" s="21" t="s">
        <v>467</v>
      </c>
    </row>
    <row r="129" ht="15.75" customHeight="1">
      <c r="A129" s="33" t="s">
        <v>1018</v>
      </c>
      <c r="B129" s="34" t="s">
        <v>1019</v>
      </c>
      <c r="C129" s="21" t="s">
        <v>147</v>
      </c>
      <c r="D129" s="9" t="s">
        <v>1020</v>
      </c>
      <c r="E129" s="9" t="s">
        <v>1021</v>
      </c>
      <c r="F129" s="9" t="s">
        <v>317</v>
      </c>
      <c r="G129" s="9" t="s">
        <v>1022</v>
      </c>
      <c r="H129" s="21" t="s">
        <v>463</v>
      </c>
      <c r="I129" s="21" t="s">
        <v>464</v>
      </c>
      <c r="J129" s="9" t="s">
        <v>1023</v>
      </c>
      <c r="K129" s="9"/>
      <c r="L129" s="9" t="s">
        <v>1024</v>
      </c>
      <c r="M129" s="21" t="s">
        <v>467</v>
      </c>
    </row>
    <row r="130" ht="15.75" customHeight="1">
      <c r="A130" s="33" t="s">
        <v>1025</v>
      </c>
      <c r="B130" s="34" t="s">
        <v>1019</v>
      </c>
      <c r="C130" s="21" t="s">
        <v>147</v>
      </c>
      <c r="D130" s="9" t="s">
        <v>1026</v>
      </c>
      <c r="E130" s="9" t="s">
        <v>1027</v>
      </c>
      <c r="F130" s="9" t="s">
        <v>317</v>
      </c>
      <c r="G130" s="9" t="s">
        <v>1028</v>
      </c>
      <c r="H130" s="21" t="s">
        <v>463</v>
      </c>
      <c r="I130" s="21" t="s">
        <v>464</v>
      </c>
      <c r="J130" s="9" t="s">
        <v>1029</v>
      </c>
      <c r="K130" s="9"/>
      <c r="L130" s="9" t="s">
        <v>1024</v>
      </c>
      <c r="M130" s="21" t="s">
        <v>467</v>
      </c>
    </row>
    <row r="131" ht="15.75" customHeight="1">
      <c r="A131" s="33" t="s">
        <v>1030</v>
      </c>
      <c r="B131" s="34" t="s">
        <v>1019</v>
      </c>
      <c r="C131" s="21" t="s">
        <v>131</v>
      </c>
      <c r="D131" s="9" t="s">
        <v>1031</v>
      </c>
      <c r="E131" s="9" t="s">
        <v>1032</v>
      </c>
      <c r="F131" s="9" t="s">
        <v>317</v>
      </c>
      <c r="G131" s="9" t="s">
        <v>757</v>
      </c>
      <c r="H131" s="21" t="s">
        <v>463</v>
      </c>
      <c r="I131" s="21" t="s">
        <v>464</v>
      </c>
      <c r="J131" s="9" t="s">
        <v>1033</v>
      </c>
      <c r="K131" s="9"/>
      <c r="L131" s="9" t="s">
        <v>1024</v>
      </c>
      <c r="M131" s="21" t="s">
        <v>467</v>
      </c>
    </row>
    <row r="132" ht="15.75" customHeight="1">
      <c r="A132" s="33" t="s">
        <v>1034</v>
      </c>
      <c r="B132" s="34" t="s">
        <v>1019</v>
      </c>
      <c r="C132" s="21" t="s">
        <v>131</v>
      </c>
      <c r="D132" s="9" t="s">
        <v>1035</v>
      </c>
      <c r="E132" s="9" t="s">
        <v>1036</v>
      </c>
      <c r="F132" s="9" t="s">
        <v>317</v>
      </c>
      <c r="G132" s="9" t="s">
        <v>766</v>
      </c>
      <c r="H132" s="21" t="s">
        <v>463</v>
      </c>
      <c r="I132" s="21" t="s">
        <v>464</v>
      </c>
      <c r="J132" s="9" t="s">
        <v>1037</v>
      </c>
      <c r="K132" s="9"/>
      <c r="L132" s="9" t="s">
        <v>1024</v>
      </c>
      <c r="M132" s="21" t="s">
        <v>467</v>
      </c>
    </row>
    <row r="133" ht="15.75" customHeight="1">
      <c r="A133" s="33" t="s">
        <v>1038</v>
      </c>
      <c r="B133" s="34" t="s">
        <v>1019</v>
      </c>
      <c r="C133" s="21" t="s">
        <v>147</v>
      </c>
      <c r="D133" s="9" t="s">
        <v>1039</v>
      </c>
      <c r="E133" s="9" t="s">
        <v>1040</v>
      </c>
      <c r="F133" s="9" t="s">
        <v>317</v>
      </c>
      <c r="G133" s="9"/>
      <c r="H133" s="21" t="s">
        <v>556</v>
      </c>
      <c r="I133" s="21" t="s">
        <v>557</v>
      </c>
      <c r="J133" s="9" t="s">
        <v>1041</v>
      </c>
      <c r="K133" s="9"/>
      <c r="L133" s="9" t="s">
        <v>1024</v>
      </c>
      <c r="M133" s="21" t="s">
        <v>467</v>
      </c>
    </row>
    <row r="134" ht="15.75" customHeight="1">
      <c r="A134" s="33" t="s">
        <v>1042</v>
      </c>
      <c r="B134" s="34" t="s">
        <v>1019</v>
      </c>
      <c r="C134" s="21" t="s">
        <v>121</v>
      </c>
      <c r="D134" s="9" t="s">
        <v>1043</v>
      </c>
      <c r="E134" s="9" t="s">
        <v>1044</v>
      </c>
      <c r="F134" s="9" t="s">
        <v>317</v>
      </c>
      <c r="G134" s="9" t="s">
        <v>375</v>
      </c>
      <c r="H134" s="21" t="s">
        <v>463</v>
      </c>
      <c r="I134" s="21" t="s">
        <v>464</v>
      </c>
      <c r="J134" s="9" t="s">
        <v>1045</v>
      </c>
      <c r="K134" s="9"/>
      <c r="L134" s="9" t="s">
        <v>1024</v>
      </c>
      <c r="M134" s="21" t="s">
        <v>467</v>
      </c>
    </row>
    <row r="135" ht="15.75" customHeight="1">
      <c r="A135" s="33" t="s">
        <v>1046</v>
      </c>
      <c r="B135" s="34" t="s">
        <v>1019</v>
      </c>
      <c r="C135" s="21" t="s">
        <v>127</v>
      </c>
      <c r="D135" s="9" t="s">
        <v>1047</v>
      </c>
      <c r="E135" s="9" t="s">
        <v>1048</v>
      </c>
      <c r="F135" s="9" t="s">
        <v>317</v>
      </c>
      <c r="G135" s="9" t="s">
        <v>1049</v>
      </c>
      <c r="H135" s="21" t="s">
        <v>463</v>
      </c>
      <c r="I135" s="21" t="s">
        <v>464</v>
      </c>
      <c r="J135" s="9" t="s">
        <v>1050</v>
      </c>
      <c r="K135" s="9"/>
      <c r="L135" s="9" t="s">
        <v>1024</v>
      </c>
      <c r="M135" s="21" t="s">
        <v>467</v>
      </c>
    </row>
    <row r="136" ht="15.75" customHeight="1">
      <c r="A136" s="33" t="s">
        <v>1051</v>
      </c>
      <c r="B136" s="34" t="s">
        <v>1019</v>
      </c>
      <c r="C136" s="21" t="s">
        <v>121</v>
      </c>
      <c r="D136" s="9" t="s">
        <v>1052</v>
      </c>
      <c r="E136" s="9" t="s">
        <v>1053</v>
      </c>
      <c r="F136" s="9" t="s">
        <v>317</v>
      </c>
      <c r="G136" s="9" t="s">
        <v>381</v>
      </c>
      <c r="H136" s="21" t="s">
        <v>556</v>
      </c>
      <c r="I136" s="21" t="s">
        <v>557</v>
      </c>
      <c r="J136" s="9" t="s">
        <v>1054</v>
      </c>
      <c r="K136" s="9"/>
      <c r="L136" s="9" t="s">
        <v>1024</v>
      </c>
      <c r="M136" s="21" t="s">
        <v>467</v>
      </c>
    </row>
    <row r="137" ht="15.75" customHeight="1">
      <c r="A137" s="33" t="s">
        <v>1055</v>
      </c>
      <c r="B137" s="34" t="s">
        <v>1019</v>
      </c>
      <c r="C137" s="21" t="s">
        <v>139</v>
      </c>
      <c r="D137" s="9" t="s">
        <v>1056</v>
      </c>
      <c r="E137" s="9" t="s">
        <v>1057</v>
      </c>
      <c r="F137" s="9" t="s">
        <v>317</v>
      </c>
      <c r="G137" s="9" t="s">
        <v>422</v>
      </c>
      <c r="H137" s="21" t="s">
        <v>556</v>
      </c>
      <c r="I137" s="21" t="s">
        <v>557</v>
      </c>
      <c r="J137" s="9" t="s">
        <v>1058</v>
      </c>
      <c r="K137" s="9"/>
      <c r="L137" s="9" t="s">
        <v>1024</v>
      </c>
      <c r="M137" s="21" t="s">
        <v>467</v>
      </c>
    </row>
    <row r="138" ht="15.75" customHeight="1">
      <c r="A138" s="33" t="s">
        <v>1059</v>
      </c>
      <c r="B138" s="34" t="s">
        <v>1019</v>
      </c>
      <c r="C138" s="21" t="s">
        <v>147</v>
      </c>
      <c r="D138" s="9" t="s">
        <v>1060</v>
      </c>
      <c r="E138" s="9" t="s">
        <v>1061</v>
      </c>
      <c r="F138" s="9" t="s">
        <v>317</v>
      </c>
      <c r="G138" s="9"/>
      <c r="H138" s="21" t="s">
        <v>463</v>
      </c>
      <c r="I138" s="21" t="s">
        <v>464</v>
      </c>
      <c r="J138" s="9" t="s">
        <v>1062</v>
      </c>
      <c r="K138" s="9"/>
      <c r="L138" s="9" t="s">
        <v>1024</v>
      </c>
      <c r="M138" s="21" t="s">
        <v>467</v>
      </c>
    </row>
    <row r="139" ht="15.75" customHeight="1">
      <c r="A139" s="33" t="s">
        <v>1063</v>
      </c>
      <c r="B139" s="34" t="s">
        <v>1019</v>
      </c>
      <c r="C139" s="21" t="s">
        <v>127</v>
      </c>
      <c r="D139" s="9" t="s">
        <v>1064</v>
      </c>
      <c r="E139" s="9" t="s">
        <v>1065</v>
      </c>
      <c r="F139" s="9" t="s">
        <v>317</v>
      </c>
      <c r="G139" s="9" t="s">
        <v>1066</v>
      </c>
      <c r="H139" s="21" t="s">
        <v>556</v>
      </c>
      <c r="I139" s="21" t="s">
        <v>557</v>
      </c>
      <c r="J139" s="9" t="s">
        <v>1067</v>
      </c>
      <c r="K139" s="9"/>
      <c r="L139" s="9" t="s">
        <v>1024</v>
      </c>
      <c r="M139" s="21" t="s">
        <v>467</v>
      </c>
    </row>
    <row r="140" ht="15.75" customHeight="1">
      <c r="A140" s="33" t="s">
        <v>1068</v>
      </c>
      <c r="B140" s="34" t="s">
        <v>1019</v>
      </c>
      <c r="C140" s="21" t="s">
        <v>147</v>
      </c>
      <c r="D140" s="9" t="s">
        <v>1069</v>
      </c>
      <c r="E140" s="9" t="s">
        <v>1070</v>
      </c>
      <c r="F140" s="9" t="s">
        <v>317</v>
      </c>
      <c r="G140" s="9"/>
      <c r="H140" s="21" t="s">
        <v>556</v>
      </c>
      <c r="I140" s="21" t="s">
        <v>557</v>
      </c>
      <c r="J140" s="9" t="s">
        <v>1071</v>
      </c>
      <c r="K140" s="9"/>
      <c r="L140" s="9" t="s">
        <v>1024</v>
      </c>
      <c r="M140" s="21" t="s">
        <v>467</v>
      </c>
    </row>
    <row r="141" ht="15.75" customHeight="1">
      <c r="A141" s="33" t="s">
        <v>1072</v>
      </c>
      <c r="B141" s="34" t="s">
        <v>1019</v>
      </c>
      <c r="C141" s="21" t="s">
        <v>147</v>
      </c>
      <c r="D141" s="9" t="s">
        <v>1073</v>
      </c>
      <c r="E141" s="9" t="s">
        <v>1074</v>
      </c>
      <c r="F141" s="9" t="s">
        <v>317</v>
      </c>
      <c r="G141" s="9"/>
      <c r="H141" s="21" t="s">
        <v>556</v>
      </c>
      <c r="I141" s="21" t="s">
        <v>557</v>
      </c>
      <c r="J141" s="9" t="s">
        <v>1075</v>
      </c>
      <c r="K141" s="9"/>
      <c r="L141" s="9" t="s">
        <v>1024</v>
      </c>
      <c r="M141" s="21" t="s">
        <v>467</v>
      </c>
    </row>
    <row r="142" ht="15.75" customHeight="1">
      <c r="A142" s="33" t="s">
        <v>1076</v>
      </c>
      <c r="B142" s="34" t="s">
        <v>1019</v>
      </c>
      <c r="C142" s="21" t="s">
        <v>147</v>
      </c>
      <c r="D142" s="9" t="s">
        <v>1077</v>
      </c>
      <c r="E142" s="9" t="s">
        <v>1078</v>
      </c>
      <c r="F142" s="9" t="s">
        <v>317</v>
      </c>
      <c r="G142" s="9" t="s">
        <v>1079</v>
      </c>
      <c r="H142" s="21" t="s">
        <v>463</v>
      </c>
      <c r="I142" s="21" t="s">
        <v>464</v>
      </c>
      <c r="J142" s="9" t="s">
        <v>1080</v>
      </c>
      <c r="K142" s="9"/>
      <c r="L142" s="9" t="s">
        <v>1024</v>
      </c>
      <c r="M142" s="21" t="s">
        <v>467</v>
      </c>
    </row>
    <row r="143" ht="15.75" customHeight="1">
      <c r="A143" s="33" t="s">
        <v>1081</v>
      </c>
      <c r="B143" s="34" t="s">
        <v>1019</v>
      </c>
      <c r="C143" s="21" t="s">
        <v>147</v>
      </c>
      <c r="D143" s="9" t="s">
        <v>1082</v>
      </c>
      <c r="E143" s="9" t="s">
        <v>1083</v>
      </c>
      <c r="F143" s="9" t="s">
        <v>317</v>
      </c>
      <c r="G143" s="9" t="s">
        <v>1084</v>
      </c>
      <c r="H143" s="21" t="s">
        <v>463</v>
      </c>
      <c r="I143" s="21" t="s">
        <v>464</v>
      </c>
      <c r="J143" s="9" t="s">
        <v>1085</v>
      </c>
      <c r="K143" s="9"/>
      <c r="L143" s="9" t="s">
        <v>1024</v>
      </c>
      <c r="M143" s="21" t="s">
        <v>467</v>
      </c>
    </row>
    <row r="144" ht="15.75" customHeight="1">
      <c r="A144" s="33" t="s">
        <v>1086</v>
      </c>
      <c r="B144" s="34" t="s">
        <v>1019</v>
      </c>
      <c r="C144" s="21" t="s">
        <v>115</v>
      </c>
      <c r="D144" s="9" t="s">
        <v>1087</v>
      </c>
      <c r="E144" s="9" t="s">
        <v>1088</v>
      </c>
      <c r="F144" s="9" t="s">
        <v>317</v>
      </c>
      <c r="G144" s="9" t="s">
        <v>1089</v>
      </c>
      <c r="H144" s="21" t="s">
        <v>463</v>
      </c>
      <c r="I144" s="21" t="s">
        <v>464</v>
      </c>
      <c r="J144" s="9" t="s">
        <v>1090</v>
      </c>
      <c r="K144" s="9"/>
      <c r="L144" s="9" t="s">
        <v>1024</v>
      </c>
      <c r="M144" s="21" t="s">
        <v>467</v>
      </c>
    </row>
    <row r="145" ht="15.75" customHeight="1">
      <c r="A145" s="33" t="s">
        <v>1091</v>
      </c>
      <c r="B145" s="34" t="s">
        <v>1019</v>
      </c>
      <c r="C145" s="21" t="s">
        <v>147</v>
      </c>
      <c r="D145" s="9" t="s">
        <v>1092</v>
      </c>
      <c r="E145" s="9" t="s">
        <v>1093</v>
      </c>
      <c r="F145" s="9" t="s">
        <v>317</v>
      </c>
      <c r="G145" s="9"/>
      <c r="H145" s="21" t="s">
        <v>463</v>
      </c>
      <c r="I145" s="21" t="s">
        <v>464</v>
      </c>
      <c r="J145" s="9" t="s">
        <v>1094</v>
      </c>
      <c r="K145" s="9"/>
      <c r="L145" s="9" t="s">
        <v>1024</v>
      </c>
      <c r="M145" s="21" t="s">
        <v>467</v>
      </c>
    </row>
    <row r="146" ht="15.75" customHeight="1">
      <c r="A146" s="33" t="s">
        <v>1095</v>
      </c>
      <c r="B146" s="34" t="s">
        <v>1019</v>
      </c>
      <c r="C146" s="21" t="s">
        <v>117</v>
      </c>
      <c r="D146" s="9" t="s">
        <v>1096</v>
      </c>
      <c r="E146" s="9" t="s">
        <v>1097</v>
      </c>
      <c r="F146" s="9" t="s">
        <v>317</v>
      </c>
      <c r="G146" s="9" t="s">
        <v>1098</v>
      </c>
      <c r="H146" s="21" t="s">
        <v>463</v>
      </c>
      <c r="I146" s="21" t="s">
        <v>464</v>
      </c>
      <c r="J146" s="9" t="s">
        <v>1099</v>
      </c>
      <c r="K146" s="9"/>
      <c r="L146" s="9" t="s">
        <v>1024</v>
      </c>
      <c r="M146" s="21" t="s">
        <v>467</v>
      </c>
    </row>
    <row r="147" ht="15.75" customHeight="1">
      <c r="A147" s="33" t="s">
        <v>1100</v>
      </c>
      <c r="B147" s="34" t="s">
        <v>1019</v>
      </c>
      <c r="C147" s="21" t="s">
        <v>147</v>
      </c>
      <c r="D147" s="9" t="s">
        <v>1101</v>
      </c>
      <c r="E147" s="9" t="s">
        <v>1102</v>
      </c>
      <c r="F147" s="9" t="s">
        <v>317</v>
      </c>
      <c r="G147" s="9"/>
      <c r="H147" s="21" t="s">
        <v>463</v>
      </c>
      <c r="I147" s="21" t="s">
        <v>464</v>
      </c>
      <c r="J147" s="9" t="s">
        <v>1103</v>
      </c>
      <c r="K147" s="9"/>
      <c r="L147" s="9" t="s">
        <v>1024</v>
      </c>
      <c r="M147" s="21" t="s">
        <v>467</v>
      </c>
    </row>
    <row r="148" ht="15.75" customHeight="1">
      <c r="A148" s="33" t="s">
        <v>1104</v>
      </c>
      <c r="B148" s="34" t="s">
        <v>1019</v>
      </c>
      <c r="C148" s="21" t="s">
        <v>147</v>
      </c>
      <c r="D148" s="9" t="s">
        <v>1105</v>
      </c>
      <c r="E148" s="9" t="s">
        <v>1106</v>
      </c>
      <c r="F148" s="9" t="s">
        <v>317</v>
      </c>
      <c r="G148" s="9" t="s">
        <v>1107</v>
      </c>
      <c r="H148" s="21" t="s">
        <v>463</v>
      </c>
      <c r="I148" s="21" t="s">
        <v>464</v>
      </c>
      <c r="J148" s="9" t="s">
        <v>1108</v>
      </c>
      <c r="K148" s="9"/>
      <c r="L148" s="9" t="s">
        <v>1024</v>
      </c>
      <c r="M148" s="21" t="s">
        <v>467</v>
      </c>
    </row>
    <row r="149" ht="15.75" customHeight="1">
      <c r="A149" s="33" t="s">
        <v>1109</v>
      </c>
      <c r="B149" s="34" t="s">
        <v>1019</v>
      </c>
      <c r="C149" s="21" t="s">
        <v>131</v>
      </c>
      <c r="D149" s="9" t="s">
        <v>1110</v>
      </c>
      <c r="E149" s="9" t="s">
        <v>1111</v>
      </c>
      <c r="F149" s="9" t="s">
        <v>317</v>
      </c>
      <c r="G149" s="9" t="s">
        <v>1112</v>
      </c>
      <c r="H149" s="21" t="s">
        <v>463</v>
      </c>
      <c r="I149" s="21" t="s">
        <v>464</v>
      </c>
      <c r="J149" s="9" t="s">
        <v>1113</v>
      </c>
      <c r="K149" s="9" t="s">
        <v>1114</v>
      </c>
      <c r="L149" s="9" t="s">
        <v>1024</v>
      </c>
      <c r="M149" s="21" t="s">
        <v>467</v>
      </c>
    </row>
    <row r="150" ht="15.75" customHeight="1">
      <c r="A150" s="33" t="s">
        <v>1115</v>
      </c>
      <c r="B150" s="34" t="s">
        <v>1019</v>
      </c>
      <c r="C150" s="21" t="s">
        <v>131</v>
      </c>
      <c r="D150" s="9" t="s">
        <v>1116</v>
      </c>
      <c r="E150" s="9" t="s">
        <v>1117</v>
      </c>
      <c r="F150" s="9" t="s">
        <v>317</v>
      </c>
      <c r="G150" s="9" t="s">
        <v>766</v>
      </c>
      <c r="H150" s="21" t="s">
        <v>463</v>
      </c>
      <c r="I150" s="21" t="s">
        <v>464</v>
      </c>
      <c r="J150" s="9" t="s">
        <v>1118</v>
      </c>
      <c r="K150" s="9"/>
      <c r="L150" s="9" t="s">
        <v>1024</v>
      </c>
      <c r="M150" s="21" t="s">
        <v>467</v>
      </c>
    </row>
    <row r="151" ht="15.75" customHeight="1">
      <c r="A151" s="33" t="s">
        <v>1119</v>
      </c>
      <c r="B151" s="34" t="s">
        <v>1019</v>
      </c>
      <c r="C151" s="21" t="s">
        <v>147</v>
      </c>
      <c r="D151" s="9" t="s">
        <v>1120</v>
      </c>
      <c r="E151" s="9" t="s">
        <v>1121</v>
      </c>
      <c r="F151" s="9" t="s">
        <v>317</v>
      </c>
      <c r="G151" s="9" t="s">
        <v>1122</v>
      </c>
      <c r="H151" s="21" t="s">
        <v>463</v>
      </c>
      <c r="I151" s="21" t="s">
        <v>464</v>
      </c>
      <c r="J151" s="9" t="s">
        <v>1123</v>
      </c>
      <c r="K151" s="9" t="s">
        <v>1124</v>
      </c>
      <c r="L151" s="9" t="s">
        <v>1024</v>
      </c>
      <c r="M151" s="21" t="s">
        <v>467</v>
      </c>
    </row>
    <row r="152" ht="15.75" customHeight="1">
      <c r="A152" s="33" t="s">
        <v>1125</v>
      </c>
      <c r="B152" s="34" t="s">
        <v>1019</v>
      </c>
      <c r="C152" s="21" t="s">
        <v>115</v>
      </c>
      <c r="D152" s="9" t="s">
        <v>1126</v>
      </c>
      <c r="E152" s="9" t="s">
        <v>1127</v>
      </c>
      <c r="F152" s="9" t="s">
        <v>317</v>
      </c>
      <c r="G152" s="9" t="s">
        <v>1128</v>
      </c>
      <c r="H152" s="21" t="s">
        <v>463</v>
      </c>
      <c r="I152" s="21" t="s">
        <v>464</v>
      </c>
      <c r="J152" s="9" t="s">
        <v>1129</v>
      </c>
      <c r="K152" s="9" t="s">
        <v>1130</v>
      </c>
      <c r="L152" s="9" t="s">
        <v>1024</v>
      </c>
      <c r="M152" s="21" t="s">
        <v>467</v>
      </c>
    </row>
    <row r="153" ht="15.75" customHeight="1">
      <c r="A153" s="33" t="s">
        <v>1131</v>
      </c>
      <c r="B153" s="34" t="s">
        <v>1019</v>
      </c>
      <c r="C153" s="21" t="s">
        <v>147</v>
      </c>
      <c r="D153" s="9" t="s">
        <v>1132</v>
      </c>
      <c r="E153" s="9" t="s">
        <v>1133</v>
      </c>
      <c r="F153" s="9" t="s">
        <v>317</v>
      </c>
      <c r="G153" s="9"/>
      <c r="H153" s="21" t="s">
        <v>463</v>
      </c>
      <c r="I153" s="21" t="s">
        <v>464</v>
      </c>
      <c r="J153" s="9" t="s">
        <v>1134</v>
      </c>
      <c r="K153" s="9"/>
      <c r="L153" s="9" t="s">
        <v>1024</v>
      </c>
      <c r="M153" s="21" t="s">
        <v>467</v>
      </c>
    </row>
    <row r="154" ht="15.75" customHeight="1">
      <c r="A154" s="33" t="s">
        <v>1135</v>
      </c>
      <c r="B154" s="34" t="s">
        <v>1019</v>
      </c>
      <c r="C154" s="21" t="s">
        <v>143</v>
      </c>
      <c r="D154" s="9" t="s">
        <v>1136</v>
      </c>
      <c r="E154" s="9" t="s">
        <v>1137</v>
      </c>
      <c r="F154" s="9" t="s">
        <v>317</v>
      </c>
      <c r="G154" s="9" t="s">
        <v>438</v>
      </c>
      <c r="H154" s="21" t="s">
        <v>463</v>
      </c>
      <c r="I154" s="21" t="s">
        <v>464</v>
      </c>
      <c r="J154" s="9" t="s">
        <v>1138</v>
      </c>
      <c r="K154" s="9"/>
      <c r="L154" s="9" t="s">
        <v>1024</v>
      </c>
      <c r="M154" s="21" t="s">
        <v>467</v>
      </c>
    </row>
    <row r="155" ht="15.75" customHeight="1">
      <c r="A155" s="33" t="s">
        <v>1139</v>
      </c>
      <c r="B155" s="34" t="s">
        <v>1019</v>
      </c>
      <c r="C155" s="21" t="s">
        <v>147</v>
      </c>
      <c r="D155" s="9" t="s">
        <v>1140</v>
      </c>
      <c r="E155" s="9" t="s">
        <v>1141</v>
      </c>
      <c r="F155" s="9" t="s">
        <v>284</v>
      </c>
      <c r="G155" s="9" t="s">
        <v>1142</v>
      </c>
      <c r="H155" s="21" t="s">
        <v>463</v>
      </c>
      <c r="I155" s="21" t="s">
        <v>464</v>
      </c>
      <c r="J155" s="9" t="s">
        <v>1143</v>
      </c>
      <c r="K155" s="9"/>
      <c r="L155" s="9" t="s">
        <v>1024</v>
      </c>
      <c r="M155" s="21" t="s">
        <v>467</v>
      </c>
    </row>
    <row r="156" ht="15.75" customHeight="1">
      <c r="A156" s="33" t="s">
        <v>1144</v>
      </c>
      <c r="B156" s="34" t="s">
        <v>1019</v>
      </c>
      <c r="C156" s="21" t="s">
        <v>147</v>
      </c>
      <c r="D156" s="9" t="s">
        <v>1145</v>
      </c>
      <c r="E156" s="9" t="s">
        <v>1146</v>
      </c>
      <c r="F156" s="9" t="s">
        <v>284</v>
      </c>
      <c r="G156" s="9"/>
      <c r="H156" s="21" t="s">
        <v>463</v>
      </c>
      <c r="I156" s="21" t="s">
        <v>464</v>
      </c>
      <c r="J156" s="9" t="s">
        <v>1147</v>
      </c>
      <c r="K156" s="9"/>
      <c r="L156" s="9" t="s">
        <v>1024</v>
      </c>
      <c r="M156" s="21" t="s">
        <v>467</v>
      </c>
    </row>
    <row r="157" ht="15.75" customHeight="1">
      <c r="A157" s="33" t="s">
        <v>1148</v>
      </c>
      <c r="B157" s="34" t="s">
        <v>1019</v>
      </c>
      <c r="C157" s="21" t="s">
        <v>147</v>
      </c>
      <c r="D157" s="9" t="s">
        <v>1149</v>
      </c>
      <c r="E157" s="9" t="s">
        <v>1150</v>
      </c>
      <c r="F157" s="9" t="s">
        <v>284</v>
      </c>
      <c r="G157" s="9"/>
      <c r="H157" s="21" t="s">
        <v>482</v>
      </c>
      <c r="I157" s="21" t="s">
        <v>483</v>
      </c>
      <c r="J157" s="9" t="s">
        <v>1151</v>
      </c>
      <c r="K157" s="9"/>
      <c r="L157" s="9" t="s">
        <v>1024</v>
      </c>
      <c r="M157" s="21" t="s">
        <v>467</v>
      </c>
    </row>
    <row r="158" ht="15.75" customHeight="1">
      <c r="A158" s="33" t="s">
        <v>1152</v>
      </c>
      <c r="B158" s="34" t="s">
        <v>1019</v>
      </c>
      <c r="C158" s="21" t="s">
        <v>147</v>
      </c>
      <c r="D158" s="9" t="s">
        <v>1153</v>
      </c>
      <c r="E158" s="9" t="s">
        <v>1154</v>
      </c>
      <c r="F158" s="9" t="s">
        <v>284</v>
      </c>
      <c r="G158" s="9" t="s">
        <v>1155</v>
      </c>
      <c r="H158" s="21" t="s">
        <v>556</v>
      </c>
      <c r="I158" s="21" t="s">
        <v>557</v>
      </c>
      <c r="J158" s="9" t="s">
        <v>1156</v>
      </c>
      <c r="K158" s="9"/>
      <c r="L158" s="9" t="s">
        <v>1024</v>
      </c>
      <c r="M158" s="21" t="s">
        <v>467</v>
      </c>
    </row>
    <row r="159" ht="15.75" customHeight="1">
      <c r="A159" s="33" t="s">
        <v>1157</v>
      </c>
      <c r="B159" s="34" t="s">
        <v>1019</v>
      </c>
      <c r="C159" s="21" t="s">
        <v>147</v>
      </c>
      <c r="D159" s="9" t="s">
        <v>1158</v>
      </c>
      <c r="E159" s="9" t="s">
        <v>1159</v>
      </c>
      <c r="F159" s="9" t="s">
        <v>284</v>
      </c>
      <c r="G159" s="9" t="s">
        <v>1022</v>
      </c>
      <c r="H159" s="21" t="s">
        <v>463</v>
      </c>
      <c r="I159" s="21" t="s">
        <v>464</v>
      </c>
      <c r="J159" s="9" t="s">
        <v>1160</v>
      </c>
      <c r="K159" s="9"/>
      <c r="L159" s="9" t="s">
        <v>1024</v>
      </c>
      <c r="M159" s="21" t="s">
        <v>467</v>
      </c>
    </row>
    <row r="160" ht="15.75" customHeight="1">
      <c r="A160" s="33" t="s">
        <v>1161</v>
      </c>
      <c r="B160" s="34" t="s">
        <v>1019</v>
      </c>
      <c r="C160" s="21" t="s">
        <v>147</v>
      </c>
      <c r="D160" s="9" t="s">
        <v>1162</v>
      </c>
      <c r="E160" s="9" t="s">
        <v>1163</v>
      </c>
      <c r="F160" s="9" t="s">
        <v>1164</v>
      </c>
      <c r="G160" s="9"/>
      <c r="H160" s="21" t="s">
        <v>463</v>
      </c>
      <c r="I160" s="21" t="s">
        <v>464</v>
      </c>
      <c r="J160" s="9" t="s">
        <v>1165</v>
      </c>
      <c r="K160" s="9"/>
      <c r="L160" s="9" t="s">
        <v>1024</v>
      </c>
      <c r="M160" s="21" t="s">
        <v>467</v>
      </c>
    </row>
    <row r="161" ht="15.75" customHeight="1">
      <c r="A161" s="33" t="s">
        <v>1166</v>
      </c>
      <c r="B161" s="34" t="s">
        <v>1019</v>
      </c>
      <c r="C161" s="21" t="s">
        <v>147</v>
      </c>
      <c r="D161" s="9" t="s">
        <v>1167</v>
      </c>
      <c r="E161" s="9" t="s">
        <v>1168</v>
      </c>
      <c r="F161" s="9" t="s">
        <v>1164</v>
      </c>
      <c r="G161" s="9"/>
      <c r="H161" s="21" t="s">
        <v>463</v>
      </c>
      <c r="I161" s="21" t="s">
        <v>464</v>
      </c>
      <c r="J161" s="9" t="s">
        <v>1169</v>
      </c>
      <c r="K161" s="9"/>
      <c r="L161" s="9" t="s">
        <v>1024</v>
      </c>
      <c r="M161" s="21" t="s">
        <v>467</v>
      </c>
    </row>
    <row r="162" ht="15.75" customHeight="1">
      <c r="A162" s="33" t="s">
        <v>1170</v>
      </c>
      <c r="B162" s="34" t="s">
        <v>1019</v>
      </c>
      <c r="C162" s="21" t="s">
        <v>147</v>
      </c>
      <c r="D162" s="9" t="s">
        <v>1171</v>
      </c>
      <c r="E162" s="9" t="s">
        <v>1172</v>
      </c>
      <c r="F162" s="9" t="s">
        <v>1164</v>
      </c>
      <c r="G162" s="9"/>
      <c r="H162" s="21" t="s">
        <v>463</v>
      </c>
      <c r="I162" s="21" t="s">
        <v>464</v>
      </c>
      <c r="J162" s="9" t="s">
        <v>1173</v>
      </c>
      <c r="K162" s="9"/>
      <c r="L162" s="9" t="s">
        <v>1024</v>
      </c>
      <c r="M162" s="21" t="s">
        <v>467</v>
      </c>
    </row>
    <row r="163" ht="15.75" customHeight="1">
      <c r="A163" s="33" t="s">
        <v>1174</v>
      </c>
      <c r="B163" s="34" t="s">
        <v>1019</v>
      </c>
      <c r="C163" s="21" t="s">
        <v>147</v>
      </c>
      <c r="D163" s="9" t="s">
        <v>1175</v>
      </c>
      <c r="E163" s="9" t="s">
        <v>1176</v>
      </c>
      <c r="F163" s="9" t="s">
        <v>1164</v>
      </c>
      <c r="G163" s="9"/>
      <c r="H163" s="21" t="s">
        <v>556</v>
      </c>
      <c r="I163" s="21" t="s">
        <v>557</v>
      </c>
      <c r="J163" s="9" t="s">
        <v>1177</v>
      </c>
      <c r="K163" s="9"/>
      <c r="L163" s="9" t="s">
        <v>1024</v>
      </c>
      <c r="M163" s="21" t="s">
        <v>467</v>
      </c>
    </row>
    <row r="164" ht="15.75" customHeight="1">
      <c r="A164" s="33" t="s">
        <v>1178</v>
      </c>
      <c r="B164" s="34" t="s">
        <v>1019</v>
      </c>
      <c r="C164" s="21" t="s">
        <v>147</v>
      </c>
      <c r="D164" s="9" t="s">
        <v>1179</v>
      </c>
      <c r="E164" s="9" t="s">
        <v>1180</v>
      </c>
      <c r="F164" s="9" t="s">
        <v>1164</v>
      </c>
      <c r="G164" s="9"/>
      <c r="H164" s="21" t="s">
        <v>463</v>
      </c>
      <c r="I164" s="21" t="s">
        <v>464</v>
      </c>
      <c r="J164" s="9" t="s">
        <v>1181</v>
      </c>
      <c r="K164" s="9"/>
      <c r="L164" s="9" t="s">
        <v>1024</v>
      </c>
      <c r="M164" s="21" t="s">
        <v>467</v>
      </c>
    </row>
    <row r="165" ht="15.75" customHeight="1">
      <c r="A165" s="33" t="s">
        <v>1182</v>
      </c>
      <c r="B165" s="34" t="s">
        <v>1019</v>
      </c>
      <c r="C165" s="21" t="s">
        <v>147</v>
      </c>
      <c r="D165" s="9" t="s">
        <v>1183</v>
      </c>
      <c r="E165" s="9" t="s">
        <v>1184</v>
      </c>
      <c r="F165" s="9" t="s">
        <v>1164</v>
      </c>
      <c r="G165" s="9"/>
      <c r="H165" s="21" t="s">
        <v>463</v>
      </c>
      <c r="I165" s="21" t="s">
        <v>464</v>
      </c>
      <c r="J165" s="9" t="s">
        <v>1185</v>
      </c>
      <c r="K165" s="9"/>
      <c r="L165" s="9" t="s">
        <v>1024</v>
      </c>
      <c r="M165" s="21" t="s">
        <v>467</v>
      </c>
    </row>
    <row r="166" ht="15.75" customHeight="1">
      <c r="A166" s="33" t="s">
        <v>1186</v>
      </c>
      <c r="B166" s="34" t="s">
        <v>1019</v>
      </c>
      <c r="C166" s="21" t="s">
        <v>147</v>
      </c>
      <c r="D166" s="9" t="s">
        <v>1187</v>
      </c>
      <c r="E166" s="9" t="s">
        <v>1188</v>
      </c>
      <c r="F166" s="9" t="s">
        <v>317</v>
      </c>
      <c r="G166" s="9" t="s">
        <v>438</v>
      </c>
      <c r="H166" s="21" t="s">
        <v>556</v>
      </c>
      <c r="I166" s="21" t="s">
        <v>557</v>
      </c>
      <c r="J166" s="9" t="s">
        <v>1189</v>
      </c>
      <c r="K166" s="9" t="s">
        <v>1190</v>
      </c>
      <c r="L166" s="9" t="s">
        <v>1024</v>
      </c>
      <c r="M166" s="21" t="s">
        <v>467</v>
      </c>
    </row>
    <row r="167" ht="15.75" customHeight="1">
      <c r="A167" s="33" t="s">
        <v>1191</v>
      </c>
      <c r="B167" s="34" t="s">
        <v>1019</v>
      </c>
      <c r="C167" s="21" t="s">
        <v>131</v>
      </c>
      <c r="D167" s="9" t="s">
        <v>1192</v>
      </c>
      <c r="E167" s="9" t="s">
        <v>1193</v>
      </c>
      <c r="F167" s="9" t="s">
        <v>317</v>
      </c>
      <c r="G167" s="9" t="s">
        <v>1194</v>
      </c>
      <c r="H167" s="21" t="s">
        <v>463</v>
      </c>
      <c r="I167" s="21" t="s">
        <v>464</v>
      </c>
      <c r="J167" s="9" t="s">
        <v>1195</v>
      </c>
      <c r="K167" s="9"/>
      <c r="L167" s="9" t="s">
        <v>1024</v>
      </c>
      <c r="M167" s="21" t="s">
        <v>467</v>
      </c>
    </row>
    <row r="168" ht="15.75" customHeight="1">
      <c r="A168" s="33" t="s">
        <v>1196</v>
      </c>
      <c r="B168" s="34" t="s">
        <v>1019</v>
      </c>
      <c r="C168" s="21" t="s">
        <v>117</v>
      </c>
      <c r="D168" s="9" t="s">
        <v>1197</v>
      </c>
      <c r="E168" s="9" t="s">
        <v>1198</v>
      </c>
      <c r="F168" s="9" t="s">
        <v>284</v>
      </c>
      <c r="G168" s="9" t="s">
        <v>1016</v>
      </c>
      <c r="H168" s="21" t="s">
        <v>556</v>
      </c>
      <c r="I168" s="21" t="s">
        <v>557</v>
      </c>
      <c r="J168" s="9" t="s">
        <v>1199</v>
      </c>
      <c r="K168" s="9"/>
      <c r="L168" s="9" t="s">
        <v>1024</v>
      </c>
      <c r="M168" s="21" t="s">
        <v>467</v>
      </c>
    </row>
    <row r="169" ht="15.75" customHeight="1">
      <c r="A169" s="33" t="s">
        <v>1200</v>
      </c>
      <c r="B169" s="34" t="s">
        <v>1019</v>
      </c>
      <c r="C169" s="21" t="s">
        <v>147</v>
      </c>
      <c r="D169" s="9" t="s">
        <v>1201</v>
      </c>
      <c r="E169" s="9" t="s">
        <v>1202</v>
      </c>
      <c r="F169" s="9" t="s">
        <v>317</v>
      </c>
      <c r="G169" s="9" t="s">
        <v>444</v>
      </c>
      <c r="H169" s="21" t="s">
        <v>463</v>
      </c>
      <c r="I169" s="21" t="s">
        <v>464</v>
      </c>
      <c r="J169" s="9" t="s">
        <v>1203</v>
      </c>
      <c r="K169" s="9"/>
      <c r="L169" s="9" t="s">
        <v>1024</v>
      </c>
      <c r="M169" s="21" t="s">
        <v>467</v>
      </c>
    </row>
    <row r="170" ht="15.75" customHeight="1">
      <c r="A170" s="35" t="s">
        <v>1204</v>
      </c>
      <c r="B170" s="36" t="s">
        <v>1205</v>
      </c>
      <c r="C170" s="21" t="s">
        <v>115</v>
      </c>
      <c r="D170" s="9" t="s">
        <v>1206</v>
      </c>
      <c r="E170" s="9" t="s">
        <v>1207</v>
      </c>
      <c r="F170" s="9" t="s">
        <v>347</v>
      </c>
      <c r="G170" s="9" t="s">
        <v>287</v>
      </c>
      <c r="H170" s="21" t="s">
        <v>463</v>
      </c>
      <c r="I170" s="21" t="s">
        <v>464</v>
      </c>
      <c r="J170" s="9" t="s">
        <v>1208</v>
      </c>
      <c r="K170" s="9"/>
      <c r="L170" s="9" t="s">
        <v>1209</v>
      </c>
      <c r="M170" s="21" t="s">
        <v>467</v>
      </c>
    </row>
    <row r="171" ht="15.75" customHeight="1">
      <c r="A171" s="35" t="s">
        <v>1210</v>
      </c>
      <c r="B171" s="36" t="s">
        <v>1205</v>
      </c>
      <c r="C171" s="21" t="s">
        <v>115</v>
      </c>
      <c r="D171" s="9" t="s">
        <v>1211</v>
      </c>
      <c r="E171" s="9" t="s">
        <v>1212</v>
      </c>
      <c r="F171" s="9" t="s">
        <v>284</v>
      </c>
      <c r="G171" s="9" t="s">
        <v>1213</v>
      </c>
      <c r="H171" s="21" t="s">
        <v>463</v>
      </c>
      <c r="I171" s="21" t="s">
        <v>464</v>
      </c>
      <c r="J171" s="9" t="s">
        <v>1214</v>
      </c>
      <c r="K171" s="9" t="s">
        <v>1215</v>
      </c>
      <c r="L171" s="9" t="s">
        <v>1209</v>
      </c>
      <c r="M171" s="21" t="s">
        <v>467</v>
      </c>
    </row>
    <row r="172" ht="15.75" customHeight="1">
      <c r="A172" s="35" t="s">
        <v>1216</v>
      </c>
      <c r="B172" s="36" t="s">
        <v>1205</v>
      </c>
      <c r="C172" s="21" t="s">
        <v>115</v>
      </c>
      <c r="D172" s="9" t="s">
        <v>1217</v>
      </c>
      <c r="E172" s="9" t="s">
        <v>1218</v>
      </c>
      <c r="F172" s="9" t="s">
        <v>284</v>
      </c>
      <c r="G172" s="9" t="s">
        <v>1219</v>
      </c>
      <c r="H172" s="21" t="s">
        <v>463</v>
      </c>
      <c r="I172" s="21" t="s">
        <v>464</v>
      </c>
      <c r="J172" s="9" t="s">
        <v>1220</v>
      </c>
      <c r="K172" s="9" t="s">
        <v>1221</v>
      </c>
      <c r="L172" s="9" t="s">
        <v>1209</v>
      </c>
      <c r="M172" s="21" t="s">
        <v>467</v>
      </c>
    </row>
    <row r="173" ht="15.75" customHeight="1">
      <c r="A173" s="35" t="s">
        <v>1222</v>
      </c>
      <c r="B173" s="36" t="s">
        <v>1205</v>
      </c>
      <c r="C173" s="21" t="s">
        <v>115</v>
      </c>
      <c r="D173" s="9" t="s">
        <v>1223</v>
      </c>
      <c r="E173" s="9" t="s">
        <v>1224</v>
      </c>
      <c r="F173" s="9" t="s">
        <v>284</v>
      </c>
      <c r="G173" s="9" t="s">
        <v>476</v>
      </c>
      <c r="H173" s="21" t="s">
        <v>463</v>
      </c>
      <c r="I173" s="21" t="s">
        <v>464</v>
      </c>
      <c r="J173" s="9" t="s">
        <v>1225</v>
      </c>
      <c r="K173" s="9" t="s">
        <v>1226</v>
      </c>
      <c r="L173" s="9" t="s">
        <v>1209</v>
      </c>
      <c r="M173" s="21" t="s">
        <v>467</v>
      </c>
    </row>
    <row r="174" ht="15.75" customHeight="1">
      <c r="A174" s="35" t="s">
        <v>1227</v>
      </c>
      <c r="B174" s="36" t="s">
        <v>1205</v>
      </c>
      <c r="C174" s="21" t="s">
        <v>115</v>
      </c>
      <c r="D174" s="9" t="s">
        <v>1228</v>
      </c>
      <c r="E174" s="9" t="s">
        <v>1229</v>
      </c>
      <c r="F174" s="9" t="s">
        <v>317</v>
      </c>
      <c r="G174" s="9" t="s">
        <v>1230</v>
      </c>
      <c r="H174" s="21" t="s">
        <v>463</v>
      </c>
      <c r="I174" s="21" t="s">
        <v>464</v>
      </c>
      <c r="J174" s="9" t="s">
        <v>1231</v>
      </c>
      <c r="K174" s="9" t="s">
        <v>1232</v>
      </c>
      <c r="L174" s="9" t="s">
        <v>1209</v>
      </c>
      <c r="M174" s="21" t="s">
        <v>467</v>
      </c>
    </row>
    <row r="175" ht="15.75" customHeight="1">
      <c r="A175" s="35" t="s">
        <v>1233</v>
      </c>
      <c r="B175" s="36" t="s">
        <v>1205</v>
      </c>
      <c r="C175" s="21" t="s">
        <v>115</v>
      </c>
      <c r="D175" s="9" t="s">
        <v>1234</v>
      </c>
      <c r="E175" s="9" t="s">
        <v>1235</v>
      </c>
      <c r="F175" s="9" t="s">
        <v>284</v>
      </c>
      <c r="G175" s="9" t="s">
        <v>1230</v>
      </c>
      <c r="H175" s="21" t="s">
        <v>556</v>
      </c>
      <c r="I175" s="21" t="s">
        <v>557</v>
      </c>
      <c r="J175" s="9" t="s">
        <v>1236</v>
      </c>
      <c r="K175" s="9" t="s">
        <v>1237</v>
      </c>
      <c r="L175" s="9" t="s">
        <v>1209</v>
      </c>
      <c r="M175" s="21" t="s">
        <v>467</v>
      </c>
    </row>
    <row r="176" ht="15.75" customHeight="1">
      <c r="A176" s="35" t="s">
        <v>1238</v>
      </c>
      <c r="B176" s="36" t="s">
        <v>1205</v>
      </c>
      <c r="C176" s="21" t="s">
        <v>115</v>
      </c>
      <c r="D176" s="9" t="s">
        <v>1239</v>
      </c>
      <c r="E176" s="9" t="s">
        <v>1240</v>
      </c>
      <c r="F176" s="9" t="s">
        <v>284</v>
      </c>
      <c r="G176" s="9" t="s">
        <v>1241</v>
      </c>
      <c r="H176" s="21" t="s">
        <v>463</v>
      </c>
      <c r="I176" s="21" t="s">
        <v>464</v>
      </c>
      <c r="J176" s="9" t="s">
        <v>1242</v>
      </c>
      <c r="K176" s="9"/>
      <c r="L176" s="9" t="s">
        <v>1209</v>
      </c>
      <c r="M176" s="21" t="s">
        <v>467</v>
      </c>
    </row>
    <row r="177" ht="15.75" customHeight="1">
      <c r="A177" s="35" t="s">
        <v>1243</v>
      </c>
      <c r="B177" s="36" t="s">
        <v>1205</v>
      </c>
      <c r="C177" s="21" t="s">
        <v>115</v>
      </c>
      <c r="D177" s="9" t="s">
        <v>1244</v>
      </c>
      <c r="E177" s="9" t="s">
        <v>1245</v>
      </c>
      <c r="F177" s="9" t="s">
        <v>284</v>
      </c>
      <c r="G177" s="9" t="s">
        <v>1246</v>
      </c>
      <c r="H177" s="21" t="s">
        <v>463</v>
      </c>
      <c r="I177" s="21" t="s">
        <v>464</v>
      </c>
      <c r="J177" s="9" t="s">
        <v>1247</v>
      </c>
      <c r="K177" s="9"/>
      <c r="L177" s="9" t="s">
        <v>1209</v>
      </c>
      <c r="M177" s="21" t="s">
        <v>467</v>
      </c>
    </row>
    <row r="178" ht="15.75" customHeight="1">
      <c r="A178" s="35" t="s">
        <v>1248</v>
      </c>
      <c r="B178" s="36" t="s">
        <v>1205</v>
      </c>
      <c r="C178" s="21" t="s">
        <v>117</v>
      </c>
      <c r="D178" s="9" t="s">
        <v>1249</v>
      </c>
      <c r="E178" s="9" t="s">
        <v>1250</v>
      </c>
      <c r="F178" s="9" t="s">
        <v>251</v>
      </c>
      <c r="G178" s="9" t="s">
        <v>1251</v>
      </c>
      <c r="H178" s="21" t="s">
        <v>463</v>
      </c>
      <c r="I178" s="21" t="s">
        <v>464</v>
      </c>
      <c r="J178" s="9" t="s">
        <v>1252</v>
      </c>
      <c r="K178" s="9"/>
      <c r="L178" s="9" t="s">
        <v>1209</v>
      </c>
      <c r="M178" s="21" t="s">
        <v>467</v>
      </c>
    </row>
    <row r="179" ht="15.75" customHeight="1">
      <c r="A179" s="35" t="s">
        <v>1253</v>
      </c>
      <c r="B179" s="36" t="s">
        <v>1205</v>
      </c>
      <c r="C179" s="21" t="s">
        <v>117</v>
      </c>
      <c r="D179" s="9" t="s">
        <v>1254</v>
      </c>
      <c r="E179" s="9" t="s">
        <v>1255</v>
      </c>
      <c r="F179" s="9" t="s">
        <v>284</v>
      </c>
      <c r="G179" s="9" t="s">
        <v>363</v>
      </c>
      <c r="H179" s="21" t="s">
        <v>463</v>
      </c>
      <c r="I179" s="21" t="s">
        <v>464</v>
      </c>
      <c r="J179" s="9" t="s">
        <v>1256</v>
      </c>
      <c r="K179" s="9"/>
      <c r="L179" s="9" t="s">
        <v>1209</v>
      </c>
      <c r="M179" s="21" t="s">
        <v>467</v>
      </c>
    </row>
    <row r="180" ht="15.75" customHeight="1">
      <c r="A180" s="35" t="s">
        <v>1257</v>
      </c>
      <c r="B180" s="36" t="s">
        <v>1205</v>
      </c>
      <c r="C180" s="21" t="s">
        <v>117</v>
      </c>
      <c r="D180" s="9" t="s">
        <v>1258</v>
      </c>
      <c r="E180" s="9" t="s">
        <v>1259</v>
      </c>
      <c r="F180" s="9" t="s">
        <v>348</v>
      </c>
      <c r="G180" s="9" t="s">
        <v>1260</v>
      </c>
      <c r="H180" s="21" t="s">
        <v>463</v>
      </c>
      <c r="I180" s="21" t="s">
        <v>464</v>
      </c>
      <c r="J180" s="9" t="s">
        <v>1261</v>
      </c>
      <c r="K180" s="9"/>
      <c r="L180" s="9" t="s">
        <v>1209</v>
      </c>
      <c r="M180" s="21" t="s">
        <v>467</v>
      </c>
    </row>
    <row r="181" ht="15.75" customHeight="1">
      <c r="A181" s="35" t="s">
        <v>1262</v>
      </c>
      <c r="B181" s="36" t="s">
        <v>1205</v>
      </c>
      <c r="C181" s="21" t="s">
        <v>117</v>
      </c>
      <c r="D181" s="9" t="s">
        <v>1263</v>
      </c>
      <c r="E181" s="9" t="s">
        <v>1264</v>
      </c>
      <c r="F181" s="9" t="s">
        <v>348</v>
      </c>
      <c r="G181" s="9" t="s">
        <v>365</v>
      </c>
      <c r="H181" s="21" t="s">
        <v>463</v>
      </c>
      <c r="I181" s="21" t="s">
        <v>464</v>
      </c>
      <c r="J181" s="9" t="s">
        <v>1265</v>
      </c>
      <c r="K181" s="9"/>
      <c r="L181" s="9" t="s">
        <v>1209</v>
      </c>
      <c r="M181" s="21" t="s">
        <v>467</v>
      </c>
    </row>
    <row r="182" ht="15.75" customHeight="1">
      <c r="A182" s="35" t="s">
        <v>1266</v>
      </c>
      <c r="B182" s="36" t="s">
        <v>1205</v>
      </c>
      <c r="C182" s="21" t="s">
        <v>117</v>
      </c>
      <c r="D182" s="9" t="s">
        <v>1267</v>
      </c>
      <c r="E182" s="9" t="s">
        <v>1268</v>
      </c>
      <c r="F182" s="9" t="s">
        <v>251</v>
      </c>
      <c r="G182" s="9" t="s">
        <v>401</v>
      </c>
      <c r="H182" s="21" t="s">
        <v>463</v>
      </c>
      <c r="I182" s="21" t="s">
        <v>464</v>
      </c>
      <c r="J182" s="9" t="s">
        <v>1269</v>
      </c>
      <c r="K182" s="9"/>
      <c r="L182" s="9" t="s">
        <v>1209</v>
      </c>
      <c r="M182" s="21" t="s">
        <v>467</v>
      </c>
    </row>
    <row r="183" ht="15.75" customHeight="1">
      <c r="A183" s="35" t="s">
        <v>1270</v>
      </c>
      <c r="B183" s="36" t="s">
        <v>1205</v>
      </c>
      <c r="C183" s="21" t="s">
        <v>117</v>
      </c>
      <c r="D183" s="9" t="s">
        <v>1271</v>
      </c>
      <c r="E183" s="9" t="s">
        <v>1272</v>
      </c>
      <c r="F183" s="9" t="s">
        <v>284</v>
      </c>
      <c r="G183" s="9" t="s">
        <v>360</v>
      </c>
      <c r="H183" s="21" t="s">
        <v>556</v>
      </c>
      <c r="I183" s="21" t="s">
        <v>557</v>
      </c>
      <c r="J183" s="9" t="s">
        <v>1273</v>
      </c>
      <c r="K183" s="9"/>
      <c r="L183" s="9" t="s">
        <v>1209</v>
      </c>
      <c r="M183" s="21" t="s">
        <v>467</v>
      </c>
    </row>
    <row r="184" ht="15.75" customHeight="1">
      <c r="A184" s="35" t="s">
        <v>1274</v>
      </c>
      <c r="B184" s="36" t="s">
        <v>1205</v>
      </c>
      <c r="C184" s="21" t="s">
        <v>119</v>
      </c>
      <c r="D184" s="9" t="s">
        <v>1275</v>
      </c>
      <c r="E184" s="9" t="s">
        <v>1276</v>
      </c>
      <c r="F184" s="9" t="s">
        <v>215</v>
      </c>
      <c r="G184" s="9" t="s">
        <v>536</v>
      </c>
      <c r="H184" s="21" t="s">
        <v>463</v>
      </c>
      <c r="I184" s="21" t="s">
        <v>464</v>
      </c>
      <c r="J184" s="9" t="s">
        <v>1277</v>
      </c>
      <c r="K184" s="9" t="s">
        <v>1278</v>
      </c>
      <c r="L184" s="9" t="s">
        <v>1209</v>
      </c>
      <c r="M184" s="21" t="s">
        <v>467</v>
      </c>
    </row>
    <row r="185" ht="15.75" customHeight="1">
      <c r="A185" s="35" t="s">
        <v>1279</v>
      </c>
      <c r="B185" s="36" t="s">
        <v>1205</v>
      </c>
      <c r="C185" s="21" t="s">
        <v>119</v>
      </c>
      <c r="D185" s="9" t="s">
        <v>1280</v>
      </c>
      <c r="E185" s="9" t="s">
        <v>1281</v>
      </c>
      <c r="F185" s="9" t="s">
        <v>215</v>
      </c>
      <c r="G185" s="9" t="s">
        <v>536</v>
      </c>
      <c r="H185" s="21" t="s">
        <v>463</v>
      </c>
      <c r="I185" s="21" t="s">
        <v>464</v>
      </c>
      <c r="J185" s="9" t="s">
        <v>1282</v>
      </c>
      <c r="K185" s="9" t="s">
        <v>1283</v>
      </c>
      <c r="L185" s="9" t="s">
        <v>1209</v>
      </c>
      <c r="M185" s="21" t="s">
        <v>467</v>
      </c>
    </row>
    <row r="186" ht="15.75" customHeight="1">
      <c r="A186" s="35" t="s">
        <v>1284</v>
      </c>
      <c r="B186" s="36" t="s">
        <v>1205</v>
      </c>
      <c r="C186" s="21" t="s">
        <v>119</v>
      </c>
      <c r="D186" s="9" t="s">
        <v>1285</v>
      </c>
      <c r="E186" s="9" t="s">
        <v>1286</v>
      </c>
      <c r="F186" s="9" t="s">
        <v>317</v>
      </c>
      <c r="G186" s="9" t="s">
        <v>531</v>
      </c>
      <c r="H186" s="21" t="s">
        <v>463</v>
      </c>
      <c r="I186" s="21" t="s">
        <v>464</v>
      </c>
      <c r="J186" s="9" t="s">
        <v>1287</v>
      </c>
      <c r="K186" s="9" t="s">
        <v>1288</v>
      </c>
      <c r="L186" s="9" t="s">
        <v>1209</v>
      </c>
      <c r="M186" s="21" t="s">
        <v>467</v>
      </c>
    </row>
    <row r="187" ht="15.75" customHeight="1">
      <c r="A187" s="35" t="s">
        <v>1289</v>
      </c>
      <c r="B187" s="36" t="s">
        <v>1205</v>
      </c>
      <c r="C187" s="21" t="s">
        <v>119</v>
      </c>
      <c r="D187" s="9" t="s">
        <v>1290</v>
      </c>
      <c r="E187" s="9" t="s">
        <v>1291</v>
      </c>
      <c r="F187" s="9" t="s">
        <v>215</v>
      </c>
      <c r="G187" s="9" t="s">
        <v>536</v>
      </c>
      <c r="H187" s="21" t="s">
        <v>463</v>
      </c>
      <c r="I187" s="21" t="s">
        <v>464</v>
      </c>
      <c r="J187" s="9" t="s">
        <v>1292</v>
      </c>
      <c r="K187" s="9" t="s">
        <v>1293</v>
      </c>
      <c r="L187" s="9" t="s">
        <v>1209</v>
      </c>
      <c r="M187" s="21" t="s">
        <v>467</v>
      </c>
    </row>
    <row r="188" ht="15.75" customHeight="1">
      <c r="A188" s="35" t="s">
        <v>1294</v>
      </c>
      <c r="B188" s="36" t="s">
        <v>1205</v>
      </c>
      <c r="C188" s="21" t="s">
        <v>119</v>
      </c>
      <c r="D188" s="9" t="s">
        <v>1295</v>
      </c>
      <c r="E188" s="9" t="s">
        <v>1296</v>
      </c>
      <c r="F188" s="9" t="s">
        <v>215</v>
      </c>
      <c r="G188" s="9" t="s">
        <v>369</v>
      </c>
      <c r="H188" s="21" t="s">
        <v>463</v>
      </c>
      <c r="I188" s="21" t="s">
        <v>464</v>
      </c>
      <c r="J188" s="9" t="s">
        <v>1297</v>
      </c>
      <c r="K188" s="9"/>
      <c r="L188" s="9" t="s">
        <v>1209</v>
      </c>
      <c r="M188" s="21" t="s">
        <v>467</v>
      </c>
    </row>
    <row r="189" ht="15.75" customHeight="1">
      <c r="A189" s="35" t="s">
        <v>1298</v>
      </c>
      <c r="B189" s="36" t="s">
        <v>1205</v>
      </c>
      <c r="C189" s="21" t="s">
        <v>119</v>
      </c>
      <c r="D189" s="9" t="s">
        <v>1299</v>
      </c>
      <c r="E189" s="9" t="s">
        <v>1300</v>
      </c>
      <c r="F189" s="9" t="s">
        <v>317</v>
      </c>
      <c r="G189" s="9" t="s">
        <v>1301</v>
      </c>
      <c r="H189" s="21" t="s">
        <v>463</v>
      </c>
      <c r="I189" s="21" t="s">
        <v>464</v>
      </c>
      <c r="J189" s="9" t="s">
        <v>1302</v>
      </c>
      <c r="K189" s="9" t="s">
        <v>1303</v>
      </c>
      <c r="L189" s="9" t="s">
        <v>1209</v>
      </c>
      <c r="M189" s="21" t="s">
        <v>467</v>
      </c>
    </row>
    <row r="190" ht="15.75" customHeight="1">
      <c r="A190" s="35" t="s">
        <v>1304</v>
      </c>
      <c r="B190" s="36" t="s">
        <v>1205</v>
      </c>
      <c r="C190" s="21" t="s">
        <v>119</v>
      </c>
      <c r="D190" s="9" t="s">
        <v>1305</v>
      </c>
      <c r="E190" s="9" t="s">
        <v>1306</v>
      </c>
      <c r="F190" s="9" t="s">
        <v>215</v>
      </c>
      <c r="G190" s="9" t="s">
        <v>571</v>
      </c>
      <c r="H190" s="21" t="s">
        <v>463</v>
      </c>
      <c r="I190" s="21" t="s">
        <v>464</v>
      </c>
      <c r="J190" s="9" t="s">
        <v>1307</v>
      </c>
      <c r="K190" s="9"/>
      <c r="L190" s="9" t="s">
        <v>1209</v>
      </c>
      <c r="M190" s="21" t="s">
        <v>467</v>
      </c>
    </row>
    <row r="191" ht="15.75" customHeight="1">
      <c r="A191" s="35" t="s">
        <v>1308</v>
      </c>
      <c r="B191" s="36" t="s">
        <v>1205</v>
      </c>
      <c r="C191" s="21" t="s">
        <v>119</v>
      </c>
      <c r="D191" s="9" t="s">
        <v>1309</v>
      </c>
      <c r="E191" s="9" t="s">
        <v>1310</v>
      </c>
      <c r="F191" s="9" t="s">
        <v>215</v>
      </c>
      <c r="G191" s="9" t="s">
        <v>1311</v>
      </c>
      <c r="H191" s="21" t="s">
        <v>463</v>
      </c>
      <c r="I191" s="21" t="s">
        <v>464</v>
      </c>
      <c r="J191" s="9" t="s">
        <v>1312</v>
      </c>
      <c r="K191" s="9" t="s">
        <v>1313</v>
      </c>
      <c r="L191" s="9" t="s">
        <v>1209</v>
      </c>
      <c r="M191" s="21" t="s">
        <v>467</v>
      </c>
    </row>
    <row r="192" ht="15.75" customHeight="1">
      <c r="A192" s="35" t="s">
        <v>1314</v>
      </c>
      <c r="B192" s="36" t="s">
        <v>1205</v>
      </c>
      <c r="C192" s="21" t="s">
        <v>119</v>
      </c>
      <c r="D192" s="9" t="s">
        <v>1315</v>
      </c>
      <c r="E192" s="9" t="s">
        <v>1316</v>
      </c>
      <c r="F192" s="9" t="s">
        <v>215</v>
      </c>
      <c r="G192" s="9" t="s">
        <v>555</v>
      </c>
      <c r="H192" s="21" t="s">
        <v>463</v>
      </c>
      <c r="I192" s="21" t="s">
        <v>464</v>
      </c>
      <c r="J192" s="9" t="s">
        <v>1317</v>
      </c>
      <c r="K192" s="9"/>
      <c r="L192" s="9" t="s">
        <v>1209</v>
      </c>
      <c r="M192" s="21" t="s">
        <v>467</v>
      </c>
    </row>
    <row r="193" ht="15.75" customHeight="1">
      <c r="A193" s="35" t="s">
        <v>1318</v>
      </c>
      <c r="B193" s="36" t="s">
        <v>1205</v>
      </c>
      <c r="C193" s="21" t="s">
        <v>119</v>
      </c>
      <c r="D193" s="9" t="s">
        <v>1319</v>
      </c>
      <c r="E193" s="9" t="s">
        <v>1320</v>
      </c>
      <c r="F193" s="9" t="s">
        <v>251</v>
      </c>
      <c r="G193" s="9" t="s">
        <v>1321</v>
      </c>
      <c r="H193" s="21" t="s">
        <v>463</v>
      </c>
      <c r="I193" s="21" t="s">
        <v>464</v>
      </c>
      <c r="J193" s="9" t="s">
        <v>1322</v>
      </c>
      <c r="K193" s="9" t="s">
        <v>1323</v>
      </c>
      <c r="L193" s="9" t="s">
        <v>1209</v>
      </c>
      <c r="M193" s="21" t="s">
        <v>467</v>
      </c>
    </row>
    <row r="194" ht="15.75" customHeight="1">
      <c r="A194" s="35" t="s">
        <v>1324</v>
      </c>
      <c r="B194" s="36" t="s">
        <v>1205</v>
      </c>
      <c r="C194" s="21" t="s">
        <v>119</v>
      </c>
      <c r="D194" s="9" t="s">
        <v>1325</v>
      </c>
      <c r="E194" s="9" t="s">
        <v>1326</v>
      </c>
      <c r="F194" s="9" t="s">
        <v>251</v>
      </c>
      <c r="G194" s="9" t="s">
        <v>1327</v>
      </c>
      <c r="H194" s="21" t="s">
        <v>463</v>
      </c>
      <c r="I194" s="21" t="s">
        <v>464</v>
      </c>
      <c r="J194" s="9" t="s">
        <v>1328</v>
      </c>
      <c r="K194" s="9"/>
      <c r="L194" s="9" t="s">
        <v>1209</v>
      </c>
      <c r="M194" s="21" t="s">
        <v>467</v>
      </c>
    </row>
    <row r="195" ht="15.75" customHeight="1">
      <c r="A195" s="35" t="s">
        <v>1329</v>
      </c>
      <c r="B195" s="36" t="s">
        <v>1205</v>
      </c>
      <c r="C195" s="21" t="s">
        <v>119</v>
      </c>
      <c r="D195" s="9" t="s">
        <v>1330</v>
      </c>
      <c r="E195" s="9" t="s">
        <v>1331</v>
      </c>
      <c r="F195" s="9" t="s">
        <v>317</v>
      </c>
      <c r="G195" s="9" t="s">
        <v>536</v>
      </c>
      <c r="H195" s="21" t="s">
        <v>463</v>
      </c>
      <c r="I195" s="21" t="s">
        <v>464</v>
      </c>
      <c r="J195" s="9" t="s">
        <v>1332</v>
      </c>
      <c r="K195" s="9"/>
      <c r="L195" s="9" t="s">
        <v>1209</v>
      </c>
      <c r="M195" s="21" t="s">
        <v>467</v>
      </c>
    </row>
    <row r="196" ht="15.75" customHeight="1">
      <c r="A196" s="35" t="s">
        <v>1333</v>
      </c>
      <c r="B196" s="36" t="s">
        <v>1205</v>
      </c>
      <c r="C196" s="21" t="s">
        <v>121</v>
      </c>
      <c r="D196" s="9" t="s">
        <v>1334</v>
      </c>
      <c r="E196" s="9" t="s">
        <v>1335</v>
      </c>
      <c r="F196" s="9" t="s">
        <v>251</v>
      </c>
      <c r="G196" s="9" t="s">
        <v>375</v>
      </c>
      <c r="H196" s="21" t="s">
        <v>463</v>
      </c>
      <c r="I196" s="21" t="s">
        <v>464</v>
      </c>
      <c r="J196" s="9" t="s">
        <v>1336</v>
      </c>
      <c r="K196" s="9"/>
      <c r="L196" s="9" t="s">
        <v>1209</v>
      </c>
      <c r="M196" s="21" t="s">
        <v>467</v>
      </c>
    </row>
    <row r="197" ht="15.75" customHeight="1">
      <c r="A197" s="35" t="s">
        <v>1337</v>
      </c>
      <c r="B197" s="36" t="s">
        <v>1205</v>
      </c>
      <c r="C197" s="21" t="s">
        <v>121</v>
      </c>
      <c r="D197" s="9" t="s">
        <v>1338</v>
      </c>
      <c r="E197" s="9" t="s">
        <v>1339</v>
      </c>
      <c r="F197" s="9" t="s">
        <v>251</v>
      </c>
      <c r="G197" s="9" t="s">
        <v>1340</v>
      </c>
      <c r="H197" s="21" t="s">
        <v>463</v>
      </c>
      <c r="I197" s="21" t="s">
        <v>464</v>
      </c>
      <c r="J197" s="9" t="s">
        <v>1341</v>
      </c>
      <c r="K197" s="9" t="s">
        <v>1342</v>
      </c>
      <c r="L197" s="9" t="s">
        <v>1209</v>
      </c>
      <c r="M197" s="21" t="s">
        <v>467</v>
      </c>
    </row>
    <row r="198" ht="15.75" customHeight="1">
      <c r="A198" s="35" t="s">
        <v>1343</v>
      </c>
      <c r="B198" s="36" t="s">
        <v>1205</v>
      </c>
      <c r="C198" s="21" t="s">
        <v>121</v>
      </c>
      <c r="D198" s="9" t="s">
        <v>1344</v>
      </c>
      <c r="E198" s="9" t="s">
        <v>1345</v>
      </c>
      <c r="F198" s="9" t="s">
        <v>251</v>
      </c>
      <c r="G198" s="9" t="s">
        <v>198</v>
      </c>
      <c r="H198" s="21" t="s">
        <v>463</v>
      </c>
      <c r="I198" s="21" t="s">
        <v>464</v>
      </c>
      <c r="J198" s="9" t="s">
        <v>1346</v>
      </c>
      <c r="K198" s="9" t="s">
        <v>1347</v>
      </c>
      <c r="L198" s="9" t="s">
        <v>1209</v>
      </c>
      <c r="M198" s="21" t="s">
        <v>467</v>
      </c>
    </row>
    <row r="199" ht="15.75" customHeight="1">
      <c r="A199" s="35" t="s">
        <v>1348</v>
      </c>
      <c r="B199" s="36" t="s">
        <v>1205</v>
      </c>
      <c r="C199" s="21" t="s">
        <v>121</v>
      </c>
      <c r="D199" s="9" t="s">
        <v>1349</v>
      </c>
      <c r="E199" s="9" t="s">
        <v>1350</v>
      </c>
      <c r="F199" s="9" t="s">
        <v>251</v>
      </c>
      <c r="G199" s="9" t="s">
        <v>600</v>
      </c>
      <c r="H199" s="21" t="s">
        <v>463</v>
      </c>
      <c r="I199" s="21" t="s">
        <v>464</v>
      </c>
      <c r="J199" s="9" t="s">
        <v>1351</v>
      </c>
      <c r="K199" s="9"/>
      <c r="L199" s="9" t="s">
        <v>1209</v>
      </c>
      <c r="M199" s="21" t="s">
        <v>467</v>
      </c>
    </row>
    <row r="200" ht="15.75" customHeight="1">
      <c r="A200" s="35" t="s">
        <v>1352</v>
      </c>
      <c r="B200" s="36" t="s">
        <v>1205</v>
      </c>
      <c r="C200" s="21" t="s">
        <v>121</v>
      </c>
      <c r="D200" s="9" t="s">
        <v>1353</v>
      </c>
      <c r="E200" s="9" t="s">
        <v>1354</v>
      </c>
      <c r="F200" s="9" t="s">
        <v>215</v>
      </c>
      <c r="G200" s="9" t="s">
        <v>1355</v>
      </c>
      <c r="H200" s="21" t="s">
        <v>463</v>
      </c>
      <c r="I200" s="21" t="s">
        <v>464</v>
      </c>
      <c r="J200" s="9" t="s">
        <v>1356</v>
      </c>
      <c r="K200" s="9" t="s">
        <v>1357</v>
      </c>
      <c r="L200" s="9" t="s">
        <v>1209</v>
      </c>
      <c r="M200" s="21" t="s">
        <v>467</v>
      </c>
    </row>
    <row r="201" ht="15.75" customHeight="1">
      <c r="A201" s="35" t="s">
        <v>1358</v>
      </c>
      <c r="B201" s="36" t="s">
        <v>1205</v>
      </c>
      <c r="C201" s="21" t="s">
        <v>125</v>
      </c>
      <c r="D201" s="9" t="s">
        <v>1359</v>
      </c>
      <c r="E201" s="9" t="s">
        <v>1360</v>
      </c>
      <c r="F201" s="9" t="s">
        <v>215</v>
      </c>
      <c r="G201" s="9" t="s">
        <v>610</v>
      </c>
      <c r="H201" s="21" t="s">
        <v>556</v>
      </c>
      <c r="I201" s="21" t="s">
        <v>557</v>
      </c>
      <c r="J201" s="9" t="s">
        <v>1361</v>
      </c>
      <c r="K201" s="9" t="s">
        <v>1362</v>
      </c>
      <c r="L201" s="9" t="s">
        <v>1209</v>
      </c>
      <c r="M201" s="21" t="s">
        <v>467</v>
      </c>
    </row>
    <row r="202" ht="15.75" customHeight="1">
      <c r="A202" s="35" t="s">
        <v>1363</v>
      </c>
      <c r="B202" s="36" t="s">
        <v>1205</v>
      </c>
      <c r="C202" s="21" t="s">
        <v>125</v>
      </c>
      <c r="D202" s="9" t="s">
        <v>1364</v>
      </c>
      <c r="E202" s="9" t="s">
        <v>1365</v>
      </c>
      <c r="F202" s="9" t="s">
        <v>284</v>
      </c>
      <c r="G202" s="9" t="s">
        <v>385</v>
      </c>
      <c r="H202" s="21" t="s">
        <v>463</v>
      </c>
      <c r="I202" s="21" t="s">
        <v>464</v>
      </c>
      <c r="J202" s="9" t="s">
        <v>1366</v>
      </c>
      <c r="K202" s="9" t="s">
        <v>1367</v>
      </c>
      <c r="L202" s="9" t="s">
        <v>1209</v>
      </c>
      <c r="M202" s="21" t="s">
        <v>467</v>
      </c>
    </row>
    <row r="203" ht="15.75" customHeight="1">
      <c r="A203" s="35" t="s">
        <v>1368</v>
      </c>
      <c r="B203" s="36" t="s">
        <v>1205</v>
      </c>
      <c r="C203" s="21" t="s">
        <v>125</v>
      </c>
      <c r="D203" s="9" t="s">
        <v>1369</v>
      </c>
      <c r="E203" s="9" t="s">
        <v>1370</v>
      </c>
      <c r="F203" s="9" t="s">
        <v>317</v>
      </c>
      <c r="G203" s="9" t="s">
        <v>663</v>
      </c>
      <c r="H203" s="21" t="s">
        <v>556</v>
      </c>
      <c r="I203" s="21" t="s">
        <v>557</v>
      </c>
      <c r="J203" s="9" t="s">
        <v>1371</v>
      </c>
      <c r="K203" s="9"/>
      <c r="L203" s="9" t="s">
        <v>1209</v>
      </c>
      <c r="M203" s="21" t="s">
        <v>467</v>
      </c>
    </row>
    <row r="204" ht="15.75" customHeight="1">
      <c r="A204" s="35" t="s">
        <v>1372</v>
      </c>
      <c r="B204" s="36" t="s">
        <v>1205</v>
      </c>
      <c r="C204" s="21" t="s">
        <v>123</v>
      </c>
      <c r="D204" s="9" t="s">
        <v>1373</v>
      </c>
      <c r="E204" s="9" t="s">
        <v>1374</v>
      </c>
      <c r="F204" s="9" t="s">
        <v>251</v>
      </c>
      <c r="G204" s="9" t="s">
        <v>628</v>
      </c>
      <c r="H204" s="21" t="s">
        <v>556</v>
      </c>
      <c r="I204" s="21" t="s">
        <v>557</v>
      </c>
      <c r="J204" s="9" t="s">
        <v>1375</v>
      </c>
      <c r="K204" s="9"/>
      <c r="L204" s="9" t="s">
        <v>1209</v>
      </c>
      <c r="M204" s="21" t="s">
        <v>467</v>
      </c>
    </row>
    <row r="205" ht="15.75" customHeight="1">
      <c r="A205" s="35" t="s">
        <v>1376</v>
      </c>
      <c r="B205" s="36" t="s">
        <v>1205</v>
      </c>
      <c r="C205" s="21" t="s">
        <v>123</v>
      </c>
      <c r="D205" s="9" t="s">
        <v>1377</v>
      </c>
      <c r="E205" s="9" t="s">
        <v>1378</v>
      </c>
      <c r="F205" s="9" t="s">
        <v>317</v>
      </c>
      <c r="G205" s="9" t="s">
        <v>381</v>
      </c>
      <c r="H205" s="21" t="s">
        <v>556</v>
      </c>
      <c r="I205" s="21" t="s">
        <v>557</v>
      </c>
      <c r="J205" s="9" t="s">
        <v>1379</v>
      </c>
      <c r="K205" s="9" t="s">
        <v>1380</v>
      </c>
      <c r="L205" s="9" t="s">
        <v>1209</v>
      </c>
      <c r="M205" s="21" t="s">
        <v>467</v>
      </c>
    </row>
    <row r="206" ht="15.75" customHeight="1">
      <c r="A206" s="35" t="s">
        <v>1381</v>
      </c>
      <c r="B206" s="36" t="s">
        <v>1205</v>
      </c>
      <c r="C206" s="21" t="s">
        <v>123</v>
      </c>
      <c r="D206" s="9" t="s">
        <v>1382</v>
      </c>
      <c r="E206" s="9" t="s">
        <v>1383</v>
      </c>
      <c r="F206" s="9" t="s">
        <v>251</v>
      </c>
      <c r="G206" s="9" t="s">
        <v>642</v>
      </c>
      <c r="H206" s="21" t="s">
        <v>556</v>
      </c>
      <c r="I206" s="21" t="s">
        <v>557</v>
      </c>
      <c r="J206" s="9" t="s">
        <v>1384</v>
      </c>
      <c r="K206" s="9"/>
      <c r="L206" s="9" t="s">
        <v>1209</v>
      </c>
      <c r="M206" s="21" t="s">
        <v>467</v>
      </c>
    </row>
    <row r="207" ht="15.75" customHeight="1">
      <c r="A207" s="35" t="s">
        <v>1385</v>
      </c>
      <c r="B207" s="36" t="s">
        <v>1205</v>
      </c>
      <c r="C207" s="21" t="s">
        <v>127</v>
      </c>
      <c r="D207" s="9" t="s">
        <v>1386</v>
      </c>
      <c r="E207" s="9" t="s">
        <v>1387</v>
      </c>
      <c r="F207" s="9" t="s">
        <v>251</v>
      </c>
      <c r="G207" s="9" t="s">
        <v>673</v>
      </c>
      <c r="H207" s="21" t="s">
        <v>463</v>
      </c>
      <c r="I207" s="21" t="s">
        <v>464</v>
      </c>
      <c r="J207" s="9" t="s">
        <v>1388</v>
      </c>
      <c r="K207" s="9"/>
      <c r="L207" s="9" t="s">
        <v>1209</v>
      </c>
      <c r="M207" s="21" t="s">
        <v>467</v>
      </c>
    </row>
    <row r="208" ht="15.75" customHeight="1">
      <c r="A208" s="35" t="s">
        <v>1389</v>
      </c>
      <c r="B208" s="36" t="s">
        <v>1205</v>
      </c>
      <c r="C208" s="21" t="s">
        <v>127</v>
      </c>
      <c r="D208" s="9" t="s">
        <v>1390</v>
      </c>
      <c r="E208" s="9" t="s">
        <v>1391</v>
      </c>
      <c r="F208" s="9" t="s">
        <v>253</v>
      </c>
      <c r="G208" s="9" t="s">
        <v>699</v>
      </c>
      <c r="H208" s="21" t="s">
        <v>463</v>
      </c>
      <c r="I208" s="21" t="s">
        <v>464</v>
      </c>
      <c r="J208" s="9" t="s">
        <v>1392</v>
      </c>
      <c r="K208" s="9" t="s">
        <v>1393</v>
      </c>
      <c r="L208" s="9" t="s">
        <v>1209</v>
      </c>
      <c r="M208" s="21" t="s">
        <v>467</v>
      </c>
    </row>
    <row r="209" ht="15.75" customHeight="1">
      <c r="A209" s="35" t="s">
        <v>1394</v>
      </c>
      <c r="B209" s="36" t="s">
        <v>1205</v>
      </c>
      <c r="C209" s="21" t="s">
        <v>127</v>
      </c>
      <c r="D209" s="9" t="s">
        <v>1395</v>
      </c>
      <c r="E209" s="9" t="s">
        <v>1396</v>
      </c>
      <c r="F209" s="9" t="s">
        <v>251</v>
      </c>
      <c r="G209" s="9" t="s">
        <v>1397</v>
      </c>
      <c r="H209" s="21" t="s">
        <v>463</v>
      </c>
      <c r="I209" s="21" t="s">
        <v>464</v>
      </c>
      <c r="J209" s="9" t="s">
        <v>1398</v>
      </c>
      <c r="K209" s="9" t="s">
        <v>1399</v>
      </c>
      <c r="L209" s="9" t="s">
        <v>1209</v>
      </c>
      <c r="M209" s="21" t="s">
        <v>467</v>
      </c>
    </row>
    <row r="210" ht="15.75" customHeight="1">
      <c r="A210" s="35" t="s">
        <v>1400</v>
      </c>
      <c r="B210" s="36" t="s">
        <v>1205</v>
      </c>
      <c r="C210" s="21" t="s">
        <v>127</v>
      </c>
      <c r="D210" s="9" t="s">
        <v>1401</v>
      </c>
      <c r="E210" s="9" t="s">
        <v>1402</v>
      </c>
      <c r="F210" s="9" t="s">
        <v>251</v>
      </c>
      <c r="G210" s="9" t="s">
        <v>682</v>
      </c>
      <c r="H210" s="21" t="s">
        <v>463</v>
      </c>
      <c r="I210" s="21" t="s">
        <v>464</v>
      </c>
      <c r="J210" s="9" t="s">
        <v>1403</v>
      </c>
      <c r="K210" s="9" t="s">
        <v>1404</v>
      </c>
      <c r="L210" s="9" t="s">
        <v>1209</v>
      </c>
      <c r="M210" s="21" t="s">
        <v>467</v>
      </c>
    </row>
    <row r="211" ht="15.75" customHeight="1">
      <c r="A211" s="35" t="s">
        <v>1405</v>
      </c>
      <c r="B211" s="36" t="s">
        <v>1205</v>
      </c>
      <c r="C211" s="21" t="s">
        <v>127</v>
      </c>
      <c r="D211" s="9" t="s">
        <v>1406</v>
      </c>
      <c r="E211" s="9" t="s">
        <v>1407</v>
      </c>
      <c r="F211" s="9" t="s">
        <v>253</v>
      </c>
      <c r="G211" s="9" t="s">
        <v>392</v>
      </c>
      <c r="H211" s="21" t="s">
        <v>463</v>
      </c>
      <c r="I211" s="21" t="s">
        <v>464</v>
      </c>
      <c r="J211" s="9" t="s">
        <v>1408</v>
      </c>
      <c r="K211" s="9" t="s">
        <v>1367</v>
      </c>
      <c r="L211" s="9" t="s">
        <v>1209</v>
      </c>
      <c r="M211" s="21" t="s">
        <v>467</v>
      </c>
    </row>
    <row r="212" ht="15.75" customHeight="1">
      <c r="A212" s="35" t="s">
        <v>1409</v>
      </c>
      <c r="B212" s="36" t="s">
        <v>1205</v>
      </c>
      <c r="C212" s="21" t="s">
        <v>127</v>
      </c>
      <c r="D212" s="9" t="s">
        <v>1410</v>
      </c>
      <c r="E212" s="9" t="s">
        <v>1411</v>
      </c>
      <c r="F212" s="9" t="s">
        <v>317</v>
      </c>
      <c r="G212" s="9" t="s">
        <v>1412</v>
      </c>
      <c r="H212" s="21" t="s">
        <v>463</v>
      </c>
      <c r="I212" s="21" t="s">
        <v>464</v>
      </c>
      <c r="J212" s="9" t="s">
        <v>1413</v>
      </c>
      <c r="K212" s="9" t="s">
        <v>1414</v>
      </c>
      <c r="L212" s="9" t="s">
        <v>1209</v>
      </c>
      <c r="M212" s="21" t="s">
        <v>467</v>
      </c>
    </row>
    <row r="213" ht="15.75" customHeight="1">
      <c r="A213" s="35" t="s">
        <v>1415</v>
      </c>
      <c r="B213" s="36" t="s">
        <v>1205</v>
      </c>
      <c r="C213" s="21" t="s">
        <v>127</v>
      </c>
      <c r="D213" s="9" t="s">
        <v>1416</v>
      </c>
      <c r="E213" s="9" t="s">
        <v>1417</v>
      </c>
      <c r="F213" s="9" t="s">
        <v>251</v>
      </c>
      <c r="G213" s="9" t="s">
        <v>1418</v>
      </c>
      <c r="H213" s="21" t="s">
        <v>463</v>
      </c>
      <c r="I213" s="21" t="s">
        <v>464</v>
      </c>
      <c r="J213" s="9" t="s">
        <v>1419</v>
      </c>
      <c r="K213" s="9" t="s">
        <v>1420</v>
      </c>
      <c r="L213" s="9" t="s">
        <v>1209</v>
      </c>
      <c r="M213" s="21" t="s">
        <v>467</v>
      </c>
    </row>
    <row r="214" ht="15.75" customHeight="1">
      <c r="A214" s="35" t="s">
        <v>1421</v>
      </c>
      <c r="B214" s="36" t="s">
        <v>1205</v>
      </c>
      <c r="C214" s="21" t="s">
        <v>127</v>
      </c>
      <c r="D214" s="9" t="s">
        <v>1422</v>
      </c>
      <c r="E214" s="9" t="s">
        <v>1423</v>
      </c>
      <c r="F214" s="9" t="s">
        <v>317</v>
      </c>
      <c r="G214" s="9" t="s">
        <v>1424</v>
      </c>
      <c r="H214" s="21" t="s">
        <v>463</v>
      </c>
      <c r="I214" s="21" t="s">
        <v>464</v>
      </c>
      <c r="J214" s="9" t="s">
        <v>1425</v>
      </c>
      <c r="K214" s="9"/>
      <c r="L214" s="9" t="s">
        <v>1209</v>
      </c>
      <c r="M214" s="21" t="s">
        <v>467</v>
      </c>
    </row>
    <row r="215" ht="15.75" customHeight="1">
      <c r="A215" s="35" t="s">
        <v>1426</v>
      </c>
      <c r="B215" s="36" t="s">
        <v>1205</v>
      </c>
      <c r="C215" s="21" t="s">
        <v>129</v>
      </c>
      <c r="D215" s="9" t="s">
        <v>1427</v>
      </c>
      <c r="E215" s="9" t="s">
        <v>1428</v>
      </c>
      <c r="F215" s="9" t="s">
        <v>251</v>
      </c>
      <c r="G215" s="9" t="s">
        <v>723</v>
      </c>
      <c r="H215" s="21" t="s">
        <v>482</v>
      </c>
      <c r="I215" s="21" t="s">
        <v>483</v>
      </c>
      <c r="J215" s="9" t="s">
        <v>1429</v>
      </c>
      <c r="K215" s="9" t="s">
        <v>1430</v>
      </c>
      <c r="L215" s="9" t="s">
        <v>1209</v>
      </c>
      <c r="M215" s="21" t="s">
        <v>467</v>
      </c>
    </row>
    <row r="216" ht="15.75" customHeight="1">
      <c r="A216" s="35" t="s">
        <v>1431</v>
      </c>
      <c r="B216" s="36" t="s">
        <v>1205</v>
      </c>
      <c r="C216" s="21" t="s">
        <v>129</v>
      </c>
      <c r="D216" s="9" t="s">
        <v>1432</v>
      </c>
      <c r="E216" s="9" t="s">
        <v>1433</v>
      </c>
      <c r="F216" s="9" t="s">
        <v>215</v>
      </c>
      <c r="G216" s="9" t="s">
        <v>732</v>
      </c>
      <c r="H216" s="21" t="s">
        <v>482</v>
      </c>
      <c r="I216" s="21" t="s">
        <v>483</v>
      </c>
      <c r="J216" s="9" t="s">
        <v>1434</v>
      </c>
      <c r="K216" s="9" t="s">
        <v>1435</v>
      </c>
      <c r="L216" s="9" t="s">
        <v>1209</v>
      </c>
      <c r="M216" s="21" t="s">
        <v>467</v>
      </c>
    </row>
    <row r="217" ht="15.75" customHeight="1">
      <c r="A217" s="35" t="s">
        <v>1436</v>
      </c>
      <c r="B217" s="36" t="s">
        <v>1205</v>
      </c>
      <c r="C217" s="21" t="s">
        <v>129</v>
      </c>
      <c r="D217" s="9" t="s">
        <v>1437</v>
      </c>
      <c r="E217" s="9" t="s">
        <v>1438</v>
      </c>
      <c r="F217" s="9" t="s">
        <v>251</v>
      </c>
      <c r="G217" s="9" t="s">
        <v>737</v>
      </c>
      <c r="H217" s="21" t="s">
        <v>482</v>
      </c>
      <c r="I217" s="21" t="s">
        <v>483</v>
      </c>
      <c r="J217" s="9" t="s">
        <v>1439</v>
      </c>
      <c r="K217" s="9" t="s">
        <v>1440</v>
      </c>
      <c r="L217" s="9" t="s">
        <v>1209</v>
      </c>
      <c r="M217" s="21" t="s">
        <v>467</v>
      </c>
    </row>
    <row r="218" ht="15.75" customHeight="1">
      <c r="A218" s="35" t="s">
        <v>1441</v>
      </c>
      <c r="B218" s="36" t="s">
        <v>1205</v>
      </c>
      <c r="C218" s="21" t="s">
        <v>131</v>
      </c>
      <c r="D218" s="9" t="s">
        <v>1442</v>
      </c>
      <c r="E218" s="9" t="s">
        <v>1443</v>
      </c>
      <c r="F218" s="9" t="s">
        <v>317</v>
      </c>
      <c r="G218" s="9" t="s">
        <v>776</v>
      </c>
      <c r="H218" s="21" t="s">
        <v>463</v>
      </c>
      <c r="I218" s="21" t="s">
        <v>464</v>
      </c>
      <c r="J218" s="9" t="s">
        <v>1444</v>
      </c>
      <c r="K218" s="9"/>
      <c r="L218" s="9" t="s">
        <v>1209</v>
      </c>
      <c r="M218" s="21" t="s">
        <v>467</v>
      </c>
    </row>
    <row r="219" ht="15.75" customHeight="1">
      <c r="A219" s="35" t="s">
        <v>1445</v>
      </c>
      <c r="B219" s="36" t="s">
        <v>1205</v>
      </c>
      <c r="C219" s="21" t="s">
        <v>131</v>
      </c>
      <c r="D219" s="9" t="s">
        <v>1446</v>
      </c>
      <c r="E219" s="9" t="s">
        <v>1447</v>
      </c>
      <c r="F219" s="9" t="s">
        <v>284</v>
      </c>
      <c r="G219" s="9" t="s">
        <v>752</v>
      </c>
      <c r="H219" s="21" t="s">
        <v>463</v>
      </c>
      <c r="I219" s="21" t="s">
        <v>464</v>
      </c>
      <c r="J219" s="9" t="s">
        <v>1448</v>
      </c>
      <c r="K219" s="9" t="s">
        <v>1449</v>
      </c>
      <c r="L219" s="9" t="s">
        <v>1209</v>
      </c>
      <c r="M219" s="21" t="s">
        <v>467</v>
      </c>
    </row>
    <row r="220" ht="15.75" customHeight="1">
      <c r="A220" s="35" t="s">
        <v>1450</v>
      </c>
      <c r="B220" s="36" t="s">
        <v>1205</v>
      </c>
      <c r="C220" s="21" t="s">
        <v>131</v>
      </c>
      <c r="D220" s="9" t="s">
        <v>1451</v>
      </c>
      <c r="E220" s="9" t="s">
        <v>1452</v>
      </c>
      <c r="F220" s="9" t="s">
        <v>317</v>
      </c>
      <c r="G220" s="9" t="s">
        <v>1453</v>
      </c>
      <c r="H220" s="21" t="s">
        <v>463</v>
      </c>
      <c r="I220" s="21" t="s">
        <v>464</v>
      </c>
      <c r="J220" s="9" t="s">
        <v>1454</v>
      </c>
      <c r="K220" s="9"/>
      <c r="L220" s="9" t="s">
        <v>1209</v>
      </c>
      <c r="M220" s="21" t="s">
        <v>467</v>
      </c>
    </row>
    <row r="221" ht="15.75" customHeight="1">
      <c r="A221" s="35" t="s">
        <v>1455</v>
      </c>
      <c r="B221" s="36" t="s">
        <v>1205</v>
      </c>
      <c r="C221" s="21" t="s">
        <v>131</v>
      </c>
      <c r="D221" s="9" t="s">
        <v>1456</v>
      </c>
      <c r="E221" s="9" t="s">
        <v>1457</v>
      </c>
      <c r="F221" s="9" t="s">
        <v>317</v>
      </c>
      <c r="G221" s="9" t="s">
        <v>757</v>
      </c>
      <c r="H221" s="21" t="s">
        <v>463</v>
      </c>
      <c r="I221" s="21" t="s">
        <v>464</v>
      </c>
      <c r="J221" s="9" t="s">
        <v>1458</v>
      </c>
      <c r="K221" s="9" t="s">
        <v>1459</v>
      </c>
      <c r="L221" s="9" t="s">
        <v>1209</v>
      </c>
      <c r="M221" s="21" t="s">
        <v>467</v>
      </c>
    </row>
    <row r="222" ht="15.75" customHeight="1">
      <c r="A222" s="35" t="s">
        <v>1460</v>
      </c>
      <c r="B222" s="36" t="s">
        <v>1205</v>
      </c>
      <c r="C222" s="21" t="s">
        <v>131</v>
      </c>
      <c r="D222" s="9" t="s">
        <v>1461</v>
      </c>
      <c r="E222" s="9" t="s">
        <v>1462</v>
      </c>
      <c r="F222" s="9" t="s">
        <v>215</v>
      </c>
      <c r="G222" s="9" t="s">
        <v>399</v>
      </c>
      <c r="H222" s="21" t="s">
        <v>463</v>
      </c>
      <c r="I222" s="21" t="s">
        <v>464</v>
      </c>
      <c r="J222" s="9" t="s">
        <v>1463</v>
      </c>
      <c r="K222" s="9"/>
      <c r="L222" s="9" t="s">
        <v>1209</v>
      </c>
      <c r="M222" s="21" t="s">
        <v>467</v>
      </c>
    </row>
    <row r="223" ht="15.75" customHeight="1">
      <c r="A223" s="35" t="s">
        <v>1464</v>
      </c>
      <c r="B223" s="36" t="s">
        <v>1205</v>
      </c>
      <c r="C223" s="21" t="s">
        <v>131</v>
      </c>
      <c r="D223" s="9" t="s">
        <v>1465</v>
      </c>
      <c r="E223" s="9" t="s">
        <v>1466</v>
      </c>
      <c r="F223" s="9" t="s">
        <v>317</v>
      </c>
      <c r="G223" s="9" t="s">
        <v>1467</v>
      </c>
      <c r="H223" s="21" t="s">
        <v>463</v>
      </c>
      <c r="I223" s="21" t="s">
        <v>464</v>
      </c>
      <c r="J223" s="9" t="s">
        <v>1468</v>
      </c>
      <c r="K223" s="9" t="s">
        <v>1469</v>
      </c>
      <c r="L223" s="9" t="s">
        <v>1209</v>
      </c>
      <c r="M223" s="21" t="s">
        <v>467</v>
      </c>
    </row>
    <row r="224" ht="15.75" customHeight="1">
      <c r="A224" s="35" t="s">
        <v>1470</v>
      </c>
      <c r="B224" s="36" t="s">
        <v>1205</v>
      </c>
      <c r="C224" s="21" t="s">
        <v>131</v>
      </c>
      <c r="D224" s="9" t="s">
        <v>1471</v>
      </c>
      <c r="E224" s="9" t="s">
        <v>1472</v>
      </c>
      <c r="F224" s="9" t="s">
        <v>317</v>
      </c>
      <c r="G224" s="9" t="s">
        <v>194</v>
      </c>
      <c r="H224" s="21" t="s">
        <v>463</v>
      </c>
      <c r="I224" s="21" t="s">
        <v>464</v>
      </c>
      <c r="J224" s="9" t="s">
        <v>1473</v>
      </c>
      <c r="K224" s="9" t="s">
        <v>1474</v>
      </c>
      <c r="L224" s="9" t="s">
        <v>1209</v>
      </c>
      <c r="M224" s="21" t="s">
        <v>467</v>
      </c>
    </row>
    <row r="225" ht="15.75" customHeight="1">
      <c r="A225" s="35" t="s">
        <v>1475</v>
      </c>
      <c r="B225" s="36" t="s">
        <v>1205</v>
      </c>
      <c r="C225" s="21" t="s">
        <v>131</v>
      </c>
      <c r="D225" s="9" t="s">
        <v>1476</v>
      </c>
      <c r="E225" s="9" t="s">
        <v>1477</v>
      </c>
      <c r="F225" s="9" t="s">
        <v>215</v>
      </c>
      <c r="G225" s="9" t="s">
        <v>808</v>
      </c>
      <c r="H225" s="21" t="s">
        <v>463</v>
      </c>
      <c r="I225" s="21" t="s">
        <v>464</v>
      </c>
      <c r="J225" s="9" t="s">
        <v>1478</v>
      </c>
      <c r="K225" s="9"/>
      <c r="L225" s="9" t="s">
        <v>1209</v>
      </c>
      <c r="M225" s="21" t="s">
        <v>467</v>
      </c>
    </row>
    <row r="226" ht="15.75" customHeight="1">
      <c r="A226" s="35" t="s">
        <v>1479</v>
      </c>
      <c r="B226" s="36" t="s">
        <v>1205</v>
      </c>
      <c r="C226" s="21" t="s">
        <v>131</v>
      </c>
      <c r="D226" s="9" t="s">
        <v>1267</v>
      </c>
      <c r="E226" s="9" t="s">
        <v>1480</v>
      </c>
      <c r="F226" s="9" t="s">
        <v>251</v>
      </c>
      <c r="G226" s="9" t="s">
        <v>822</v>
      </c>
      <c r="H226" s="21" t="s">
        <v>463</v>
      </c>
      <c r="I226" s="21" t="s">
        <v>464</v>
      </c>
      <c r="J226" s="9" t="s">
        <v>1481</v>
      </c>
      <c r="K226" s="9" t="s">
        <v>1482</v>
      </c>
      <c r="L226" s="9" t="s">
        <v>1209</v>
      </c>
      <c r="M226" s="21" t="s">
        <v>467</v>
      </c>
    </row>
    <row r="227" ht="15.75" customHeight="1">
      <c r="A227" s="35" t="s">
        <v>1483</v>
      </c>
      <c r="B227" s="36" t="s">
        <v>1205</v>
      </c>
      <c r="C227" s="21" t="s">
        <v>131</v>
      </c>
      <c r="D227" s="9" t="s">
        <v>1484</v>
      </c>
      <c r="E227" s="9" t="s">
        <v>1485</v>
      </c>
      <c r="F227" s="9" t="s">
        <v>251</v>
      </c>
      <c r="G227" s="9" t="s">
        <v>401</v>
      </c>
      <c r="H227" s="21" t="s">
        <v>463</v>
      </c>
      <c r="I227" s="21" t="s">
        <v>464</v>
      </c>
      <c r="J227" s="9" t="s">
        <v>1486</v>
      </c>
      <c r="K227" s="9" t="s">
        <v>1487</v>
      </c>
      <c r="L227" s="9" t="s">
        <v>1209</v>
      </c>
      <c r="M227" s="21" t="s">
        <v>467</v>
      </c>
    </row>
    <row r="228" ht="15.75" customHeight="1">
      <c r="A228" s="35" t="s">
        <v>1488</v>
      </c>
      <c r="B228" s="36" t="s">
        <v>1205</v>
      </c>
      <c r="C228" s="21" t="s">
        <v>131</v>
      </c>
      <c r="D228" s="9" t="s">
        <v>217</v>
      </c>
      <c r="E228" s="9" t="s">
        <v>1489</v>
      </c>
      <c r="F228" s="9" t="s">
        <v>251</v>
      </c>
      <c r="G228" s="9" t="s">
        <v>822</v>
      </c>
      <c r="H228" s="21" t="s">
        <v>556</v>
      </c>
      <c r="I228" s="21" t="s">
        <v>557</v>
      </c>
      <c r="J228" s="9" t="s">
        <v>1490</v>
      </c>
      <c r="K228" s="9" t="s">
        <v>1491</v>
      </c>
      <c r="L228" s="9" t="s">
        <v>1209</v>
      </c>
      <c r="M228" s="21" t="s">
        <v>467</v>
      </c>
    </row>
    <row r="229" ht="15.75" customHeight="1">
      <c r="A229" s="35" t="s">
        <v>1492</v>
      </c>
      <c r="B229" s="36" t="s">
        <v>1205</v>
      </c>
      <c r="C229" s="21" t="s">
        <v>131</v>
      </c>
      <c r="D229" s="9" t="s">
        <v>1493</v>
      </c>
      <c r="E229" s="9" t="s">
        <v>1494</v>
      </c>
      <c r="F229" s="9" t="s">
        <v>349</v>
      </c>
      <c r="G229" s="9" t="s">
        <v>342</v>
      </c>
      <c r="H229" s="21" t="s">
        <v>463</v>
      </c>
      <c r="I229" s="21" t="s">
        <v>464</v>
      </c>
      <c r="J229" s="9" t="s">
        <v>1495</v>
      </c>
      <c r="K229" s="9" t="s">
        <v>1496</v>
      </c>
      <c r="L229" s="9" t="s">
        <v>1209</v>
      </c>
      <c r="M229" s="21" t="s">
        <v>467</v>
      </c>
    </row>
    <row r="230" ht="15.75" customHeight="1">
      <c r="A230" s="35" t="s">
        <v>1497</v>
      </c>
      <c r="B230" s="36" t="s">
        <v>1205</v>
      </c>
      <c r="C230" s="21" t="s">
        <v>131</v>
      </c>
      <c r="D230" s="9" t="s">
        <v>1498</v>
      </c>
      <c r="E230" s="9" t="s">
        <v>1499</v>
      </c>
      <c r="F230" s="9" t="s">
        <v>317</v>
      </c>
      <c r="G230" s="9" t="s">
        <v>1500</v>
      </c>
      <c r="H230" s="21" t="s">
        <v>463</v>
      </c>
      <c r="I230" s="21" t="s">
        <v>464</v>
      </c>
      <c r="J230" s="9" t="s">
        <v>1501</v>
      </c>
      <c r="K230" s="9"/>
      <c r="L230" s="9" t="s">
        <v>1209</v>
      </c>
      <c r="M230" s="21" t="s">
        <v>467</v>
      </c>
    </row>
    <row r="231" ht="15.75" customHeight="1">
      <c r="A231" s="35" t="s">
        <v>1502</v>
      </c>
      <c r="B231" s="36" t="s">
        <v>1205</v>
      </c>
      <c r="C231" s="21" t="s">
        <v>131</v>
      </c>
      <c r="D231" s="9" t="s">
        <v>1503</v>
      </c>
      <c r="E231" s="9" t="s">
        <v>1504</v>
      </c>
      <c r="F231" s="9" t="s">
        <v>317</v>
      </c>
      <c r="G231" s="9" t="s">
        <v>839</v>
      </c>
      <c r="H231" s="21" t="s">
        <v>463</v>
      </c>
      <c r="I231" s="21" t="s">
        <v>464</v>
      </c>
      <c r="J231" s="9" t="s">
        <v>1505</v>
      </c>
      <c r="K231" s="9" t="s">
        <v>1506</v>
      </c>
      <c r="L231" s="9" t="s">
        <v>1209</v>
      </c>
      <c r="M231" s="21" t="s">
        <v>467</v>
      </c>
    </row>
    <row r="232" ht="15.75" customHeight="1">
      <c r="A232" s="35" t="s">
        <v>1507</v>
      </c>
      <c r="B232" s="36" t="s">
        <v>1205</v>
      </c>
      <c r="C232" s="21" t="s">
        <v>131</v>
      </c>
      <c r="D232" s="9" t="s">
        <v>1508</v>
      </c>
      <c r="E232" s="9" t="s">
        <v>1509</v>
      </c>
      <c r="F232" s="9" t="s">
        <v>317</v>
      </c>
      <c r="G232" s="9" t="s">
        <v>1510</v>
      </c>
      <c r="H232" s="21" t="s">
        <v>463</v>
      </c>
      <c r="I232" s="21" t="s">
        <v>464</v>
      </c>
      <c r="J232" s="9" t="s">
        <v>1511</v>
      </c>
      <c r="K232" s="9" t="s">
        <v>1512</v>
      </c>
      <c r="L232" s="9" t="s">
        <v>1209</v>
      </c>
      <c r="M232" s="21" t="s">
        <v>467</v>
      </c>
    </row>
    <row r="233" ht="15.75" customHeight="1">
      <c r="A233" s="35" t="s">
        <v>1513</v>
      </c>
      <c r="B233" s="36" t="s">
        <v>1205</v>
      </c>
      <c r="C233" s="21" t="s">
        <v>131</v>
      </c>
      <c r="D233" s="9" t="s">
        <v>219</v>
      </c>
      <c r="E233" s="9" t="s">
        <v>1514</v>
      </c>
      <c r="F233" s="9" t="s">
        <v>317</v>
      </c>
      <c r="G233" s="9" t="s">
        <v>1515</v>
      </c>
      <c r="H233" s="21" t="s">
        <v>463</v>
      </c>
      <c r="I233" s="21" t="s">
        <v>464</v>
      </c>
      <c r="J233" s="9" t="s">
        <v>1516</v>
      </c>
      <c r="K233" s="9"/>
      <c r="L233" s="9" t="s">
        <v>1209</v>
      </c>
      <c r="M233" s="21" t="s">
        <v>467</v>
      </c>
    </row>
    <row r="234" ht="15.75" customHeight="1">
      <c r="A234" s="35" t="s">
        <v>1517</v>
      </c>
      <c r="B234" s="36" t="s">
        <v>1205</v>
      </c>
      <c r="C234" s="21" t="s">
        <v>133</v>
      </c>
      <c r="D234" s="9" t="s">
        <v>1518</v>
      </c>
      <c r="E234" s="9" t="s">
        <v>1519</v>
      </c>
      <c r="F234" s="9" t="s">
        <v>317</v>
      </c>
      <c r="G234" s="9" t="s">
        <v>354</v>
      </c>
      <c r="H234" s="21" t="s">
        <v>463</v>
      </c>
      <c r="I234" s="21" t="s">
        <v>464</v>
      </c>
      <c r="J234" s="9" t="s">
        <v>1520</v>
      </c>
      <c r="K234" s="9" t="s">
        <v>1521</v>
      </c>
      <c r="L234" s="9" t="s">
        <v>1209</v>
      </c>
      <c r="M234" s="21" t="s">
        <v>467</v>
      </c>
    </row>
    <row r="235" ht="15.75" customHeight="1">
      <c r="A235" s="35" t="s">
        <v>1522</v>
      </c>
      <c r="B235" s="36" t="s">
        <v>1205</v>
      </c>
      <c r="C235" s="21" t="s">
        <v>133</v>
      </c>
      <c r="D235" s="9" t="s">
        <v>1523</v>
      </c>
      <c r="E235" s="9" t="s">
        <v>1524</v>
      </c>
      <c r="F235" s="9" t="s">
        <v>317</v>
      </c>
      <c r="G235" s="9" t="s">
        <v>354</v>
      </c>
      <c r="H235" s="21" t="s">
        <v>463</v>
      </c>
      <c r="I235" s="21" t="s">
        <v>464</v>
      </c>
      <c r="J235" s="9" t="s">
        <v>1525</v>
      </c>
      <c r="K235" s="9" t="s">
        <v>1526</v>
      </c>
      <c r="L235" s="9" t="s">
        <v>1209</v>
      </c>
      <c r="M235" s="21" t="s">
        <v>467</v>
      </c>
    </row>
    <row r="236" ht="15.75" customHeight="1">
      <c r="A236" s="35" t="s">
        <v>1527</v>
      </c>
      <c r="B236" s="36" t="s">
        <v>1205</v>
      </c>
      <c r="C236" s="21" t="s">
        <v>133</v>
      </c>
      <c r="D236" s="9" t="s">
        <v>1528</v>
      </c>
      <c r="E236" s="9" t="s">
        <v>1529</v>
      </c>
      <c r="F236" s="9" t="s">
        <v>317</v>
      </c>
      <c r="G236" s="9" t="s">
        <v>194</v>
      </c>
      <c r="H236" s="21" t="s">
        <v>463</v>
      </c>
      <c r="I236" s="21" t="s">
        <v>464</v>
      </c>
      <c r="J236" s="9" t="s">
        <v>1530</v>
      </c>
      <c r="K236" s="9" t="s">
        <v>1531</v>
      </c>
      <c r="L236" s="9" t="s">
        <v>1209</v>
      </c>
      <c r="M236" s="21" t="s">
        <v>467</v>
      </c>
    </row>
    <row r="237" ht="15.75" customHeight="1">
      <c r="A237" s="35" t="s">
        <v>1532</v>
      </c>
      <c r="B237" s="36" t="s">
        <v>1205</v>
      </c>
      <c r="C237" s="21" t="s">
        <v>133</v>
      </c>
      <c r="D237" s="9" t="s">
        <v>1533</v>
      </c>
      <c r="E237" s="9" t="s">
        <v>1534</v>
      </c>
      <c r="F237" s="9" t="s">
        <v>215</v>
      </c>
      <c r="G237" s="9" t="s">
        <v>1535</v>
      </c>
      <c r="H237" s="21" t="s">
        <v>463</v>
      </c>
      <c r="I237" s="21" t="s">
        <v>464</v>
      </c>
      <c r="J237" s="9" t="s">
        <v>1536</v>
      </c>
      <c r="K237" s="9" t="s">
        <v>1537</v>
      </c>
      <c r="L237" s="9" t="s">
        <v>1209</v>
      </c>
      <c r="M237" s="21" t="s">
        <v>467</v>
      </c>
    </row>
    <row r="238" ht="15.75" customHeight="1">
      <c r="A238" s="35" t="s">
        <v>1538</v>
      </c>
      <c r="B238" s="36" t="s">
        <v>1205</v>
      </c>
      <c r="C238" s="21" t="s">
        <v>133</v>
      </c>
      <c r="D238" s="9" t="s">
        <v>1539</v>
      </c>
      <c r="E238" s="9" t="s">
        <v>1540</v>
      </c>
      <c r="F238" s="9" t="s">
        <v>215</v>
      </c>
      <c r="G238" s="9" t="s">
        <v>1541</v>
      </c>
      <c r="H238" s="21" t="s">
        <v>482</v>
      </c>
      <c r="I238" s="21" t="s">
        <v>483</v>
      </c>
      <c r="J238" s="9" t="s">
        <v>1542</v>
      </c>
      <c r="K238" s="9"/>
      <c r="L238" s="9" t="s">
        <v>1209</v>
      </c>
      <c r="M238" s="21" t="s">
        <v>467</v>
      </c>
    </row>
    <row r="239" ht="15.75" customHeight="1">
      <c r="A239" s="35" t="s">
        <v>1543</v>
      </c>
      <c r="B239" s="36" t="s">
        <v>1205</v>
      </c>
      <c r="C239" s="21" t="s">
        <v>135</v>
      </c>
      <c r="D239" s="9" t="s">
        <v>1544</v>
      </c>
      <c r="E239" s="9" t="s">
        <v>1545</v>
      </c>
      <c r="F239" s="9" t="s">
        <v>284</v>
      </c>
      <c r="G239" s="9" t="s">
        <v>412</v>
      </c>
      <c r="H239" s="21" t="s">
        <v>463</v>
      </c>
      <c r="I239" s="21" t="s">
        <v>464</v>
      </c>
      <c r="J239" s="9" t="s">
        <v>1546</v>
      </c>
      <c r="K239" s="9" t="s">
        <v>1547</v>
      </c>
      <c r="L239" s="9" t="s">
        <v>1209</v>
      </c>
      <c r="M239" s="21" t="s">
        <v>467</v>
      </c>
    </row>
    <row r="240" ht="15.75" customHeight="1">
      <c r="A240" s="35" t="s">
        <v>1548</v>
      </c>
      <c r="B240" s="36" t="s">
        <v>1205</v>
      </c>
      <c r="C240" s="21" t="s">
        <v>135</v>
      </c>
      <c r="D240" s="9" t="s">
        <v>1549</v>
      </c>
      <c r="E240" s="9" t="s">
        <v>1550</v>
      </c>
      <c r="F240" s="9" t="s">
        <v>284</v>
      </c>
      <c r="G240" s="9" t="s">
        <v>1551</v>
      </c>
      <c r="H240" s="21" t="s">
        <v>556</v>
      </c>
      <c r="I240" s="21" t="s">
        <v>557</v>
      </c>
      <c r="J240" s="9" t="s">
        <v>1552</v>
      </c>
      <c r="K240" s="9"/>
      <c r="L240" s="9" t="s">
        <v>1209</v>
      </c>
      <c r="M240" s="21" t="s">
        <v>467</v>
      </c>
    </row>
    <row r="241" ht="15.75" customHeight="1">
      <c r="A241" s="35" t="s">
        <v>1553</v>
      </c>
      <c r="B241" s="36" t="s">
        <v>1205</v>
      </c>
      <c r="C241" s="21" t="s">
        <v>135</v>
      </c>
      <c r="D241" s="9" t="s">
        <v>1554</v>
      </c>
      <c r="E241" s="9" t="s">
        <v>1555</v>
      </c>
      <c r="F241" s="9" t="s">
        <v>317</v>
      </c>
      <c r="G241" s="9" t="s">
        <v>883</v>
      </c>
      <c r="H241" s="21" t="s">
        <v>463</v>
      </c>
      <c r="I241" s="21" t="s">
        <v>464</v>
      </c>
      <c r="J241" s="9" t="s">
        <v>1556</v>
      </c>
      <c r="K241" s="9" t="s">
        <v>1557</v>
      </c>
      <c r="L241" s="9" t="s">
        <v>1209</v>
      </c>
      <c r="M241" s="21" t="s">
        <v>467</v>
      </c>
    </row>
    <row r="242" ht="15.75" customHeight="1">
      <c r="A242" s="35" t="s">
        <v>1558</v>
      </c>
      <c r="B242" s="36" t="s">
        <v>1205</v>
      </c>
      <c r="C242" s="21" t="s">
        <v>135</v>
      </c>
      <c r="D242" s="9" t="s">
        <v>1559</v>
      </c>
      <c r="E242" s="9" t="s">
        <v>1560</v>
      </c>
      <c r="F242" s="9" t="s">
        <v>317</v>
      </c>
      <c r="G242" s="9" t="s">
        <v>883</v>
      </c>
      <c r="H242" s="21" t="s">
        <v>556</v>
      </c>
      <c r="I242" s="21" t="s">
        <v>557</v>
      </c>
      <c r="J242" s="9" t="s">
        <v>1561</v>
      </c>
      <c r="K242" s="9" t="s">
        <v>1562</v>
      </c>
      <c r="L242" s="9" t="s">
        <v>1209</v>
      </c>
      <c r="M242" s="21" t="s">
        <v>467</v>
      </c>
    </row>
    <row r="243" ht="15.75" customHeight="1">
      <c r="A243" s="35" t="s">
        <v>1563</v>
      </c>
      <c r="B243" s="36" t="s">
        <v>1205</v>
      </c>
      <c r="C243" s="21" t="s">
        <v>135</v>
      </c>
      <c r="D243" s="9" t="s">
        <v>1564</v>
      </c>
      <c r="E243" s="9" t="s">
        <v>1565</v>
      </c>
      <c r="F243" s="9" t="s">
        <v>317</v>
      </c>
      <c r="G243" s="9" t="s">
        <v>1566</v>
      </c>
      <c r="H243" s="21" t="s">
        <v>556</v>
      </c>
      <c r="I243" s="21" t="s">
        <v>557</v>
      </c>
      <c r="J243" s="9" t="s">
        <v>1567</v>
      </c>
      <c r="K243" s="9" t="s">
        <v>1568</v>
      </c>
      <c r="L243" s="9" t="s">
        <v>1209</v>
      </c>
      <c r="M243" s="21" t="s">
        <v>467</v>
      </c>
    </row>
    <row r="244" ht="15.75" customHeight="1">
      <c r="A244" s="35" t="s">
        <v>1569</v>
      </c>
      <c r="B244" s="36" t="s">
        <v>1205</v>
      </c>
      <c r="C244" s="21" t="s">
        <v>135</v>
      </c>
      <c r="D244" s="9" t="s">
        <v>1570</v>
      </c>
      <c r="E244" s="9" t="s">
        <v>1571</v>
      </c>
      <c r="F244" s="9" t="s">
        <v>251</v>
      </c>
      <c r="G244" s="9" t="s">
        <v>1572</v>
      </c>
      <c r="H244" s="21" t="s">
        <v>463</v>
      </c>
      <c r="I244" s="21" t="s">
        <v>464</v>
      </c>
      <c r="J244" s="9" t="s">
        <v>1573</v>
      </c>
      <c r="K244" s="9" t="s">
        <v>1574</v>
      </c>
      <c r="L244" s="9" t="s">
        <v>1209</v>
      </c>
      <c r="M244" s="21" t="s">
        <v>467</v>
      </c>
    </row>
    <row r="245" ht="15.75" customHeight="1">
      <c r="A245" s="35" t="s">
        <v>1575</v>
      </c>
      <c r="B245" s="36" t="s">
        <v>1205</v>
      </c>
      <c r="C245" s="21" t="s">
        <v>137</v>
      </c>
      <c r="D245" s="9" t="s">
        <v>1576</v>
      </c>
      <c r="E245" s="9" t="s">
        <v>1577</v>
      </c>
      <c r="F245" s="9" t="s">
        <v>215</v>
      </c>
      <c r="G245" s="9" t="s">
        <v>416</v>
      </c>
      <c r="H245" s="21" t="s">
        <v>463</v>
      </c>
      <c r="I245" s="21" t="s">
        <v>464</v>
      </c>
      <c r="J245" s="9" t="s">
        <v>1578</v>
      </c>
      <c r="K245" s="9" t="s">
        <v>1367</v>
      </c>
      <c r="L245" s="9" t="s">
        <v>1209</v>
      </c>
      <c r="M245" s="21" t="s">
        <v>467</v>
      </c>
    </row>
    <row r="246" ht="15.75" customHeight="1">
      <c r="A246" s="35" t="s">
        <v>1579</v>
      </c>
      <c r="B246" s="36" t="s">
        <v>1205</v>
      </c>
      <c r="C246" s="21" t="s">
        <v>137</v>
      </c>
      <c r="D246" s="9" t="s">
        <v>1580</v>
      </c>
      <c r="E246" s="9" t="s">
        <v>1581</v>
      </c>
      <c r="F246" s="9" t="s">
        <v>317</v>
      </c>
      <c r="G246" s="9" t="s">
        <v>1582</v>
      </c>
      <c r="H246" s="21" t="s">
        <v>463</v>
      </c>
      <c r="I246" s="21" t="s">
        <v>464</v>
      </c>
      <c r="J246" s="9" t="s">
        <v>1583</v>
      </c>
      <c r="K246" s="9"/>
      <c r="L246" s="9" t="s">
        <v>1209</v>
      </c>
      <c r="M246" s="21" t="s">
        <v>467</v>
      </c>
    </row>
    <row r="247" ht="15.75" customHeight="1">
      <c r="A247" s="35" t="s">
        <v>1584</v>
      </c>
      <c r="B247" s="36" t="s">
        <v>1205</v>
      </c>
      <c r="C247" s="21" t="s">
        <v>137</v>
      </c>
      <c r="D247" s="9" t="s">
        <v>1585</v>
      </c>
      <c r="E247" s="9" t="s">
        <v>1586</v>
      </c>
      <c r="F247" s="9" t="s">
        <v>348</v>
      </c>
      <c r="G247" s="9" t="s">
        <v>418</v>
      </c>
      <c r="H247" s="21" t="s">
        <v>463</v>
      </c>
      <c r="I247" s="21" t="s">
        <v>464</v>
      </c>
      <c r="J247" s="9" t="s">
        <v>1587</v>
      </c>
      <c r="K247" s="9" t="s">
        <v>1588</v>
      </c>
      <c r="L247" s="9" t="s">
        <v>1209</v>
      </c>
      <c r="M247" s="21" t="s">
        <v>467</v>
      </c>
    </row>
    <row r="248" ht="15.75" customHeight="1">
      <c r="A248" s="35" t="s">
        <v>1589</v>
      </c>
      <c r="B248" s="36" t="s">
        <v>1205</v>
      </c>
      <c r="C248" s="21" t="s">
        <v>137</v>
      </c>
      <c r="D248" s="9" t="s">
        <v>1590</v>
      </c>
      <c r="E248" s="9" t="s">
        <v>1591</v>
      </c>
      <c r="F248" s="9" t="s">
        <v>349</v>
      </c>
      <c r="G248" s="9" t="s">
        <v>420</v>
      </c>
      <c r="H248" s="21" t="s">
        <v>463</v>
      </c>
      <c r="I248" s="21" t="s">
        <v>464</v>
      </c>
      <c r="J248" s="9" t="s">
        <v>1592</v>
      </c>
      <c r="K248" s="9"/>
      <c r="L248" s="9" t="s">
        <v>1209</v>
      </c>
      <c r="M248" s="21" t="s">
        <v>467</v>
      </c>
    </row>
    <row r="249" ht="15.75" customHeight="1">
      <c r="A249" s="35" t="s">
        <v>1593</v>
      </c>
      <c r="B249" s="36" t="s">
        <v>1205</v>
      </c>
      <c r="C249" s="21" t="s">
        <v>141</v>
      </c>
      <c r="D249" s="9" t="s">
        <v>1594</v>
      </c>
      <c r="E249" s="9" t="s">
        <v>1595</v>
      </c>
      <c r="F249" s="9" t="s">
        <v>317</v>
      </c>
      <c r="G249" s="9" t="s">
        <v>1596</v>
      </c>
      <c r="H249" s="21" t="s">
        <v>463</v>
      </c>
      <c r="I249" s="21" t="s">
        <v>464</v>
      </c>
      <c r="J249" s="9" t="s">
        <v>1597</v>
      </c>
      <c r="K249" s="9"/>
      <c r="L249" s="9" t="s">
        <v>1209</v>
      </c>
      <c r="M249" s="21" t="s">
        <v>467</v>
      </c>
    </row>
    <row r="250" ht="15.75" customHeight="1">
      <c r="A250" s="35" t="s">
        <v>1598</v>
      </c>
      <c r="B250" s="36" t="s">
        <v>1205</v>
      </c>
      <c r="C250" s="21" t="s">
        <v>141</v>
      </c>
      <c r="D250" s="9" t="s">
        <v>1599</v>
      </c>
      <c r="E250" s="9" t="s">
        <v>1600</v>
      </c>
      <c r="F250" s="9" t="s">
        <v>349</v>
      </c>
      <c r="G250" s="9" t="s">
        <v>429</v>
      </c>
      <c r="H250" s="21" t="s">
        <v>463</v>
      </c>
      <c r="I250" s="21" t="s">
        <v>464</v>
      </c>
      <c r="J250" s="9" t="s">
        <v>1601</v>
      </c>
      <c r="K250" s="9"/>
      <c r="L250" s="9" t="s">
        <v>1209</v>
      </c>
      <c r="M250" s="21" t="s">
        <v>467</v>
      </c>
    </row>
    <row r="251" ht="15.75" customHeight="1">
      <c r="A251" s="35" t="s">
        <v>1602</v>
      </c>
      <c r="B251" s="36" t="s">
        <v>1205</v>
      </c>
      <c r="C251" s="21" t="s">
        <v>141</v>
      </c>
      <c r="D251" s="9" t="s">
        <v>1603</v>
      </c>
      <c r="E251" s="9" t="s">
        <v>1604</v>
      </c>
      <c r="F251" s="9" t="s">
        <v>349</v>
      </c>
      <c r="G251" s="9" t="s">
        <v>1605</v>
      </c>
      <c r="H251" s="21" t="s">
        <v>556</v>
      </c>
      <c r="I251" s="21" t="s">
        <v>557</v>
      </c>
      <c r="J251" s="9" t="s">
        <v>1606</v>
      </c>
      <c r="K251" s="9"/>
      <c r="L251" s="9" t="s">
        <v>1209</v>
      </c>
      <c r="M251" s="21" t="s">
        <v>467</v>
      </c>
    </row>
    <row r="252" ht="15.75" customHeight="1">
      <c r="A252" s="35" t="s">
        <v>1607</v>
      </c>
      <c r="B252" s="36" t="s">
        <v>1205</v>
      </c>
      <c r="C252" s="21" t="s">
        <v>143</v>
      </c>
      <c r="D252" s="9" t="s">
        <v>1608</v>
      </c>
      <c r="E252" s="9" t="s">
        <v>1609</v>
      </c>
      <c r="F252" s="9" t="s">
        <v>349</v>
      </c>
      <c r="G252" s="9" t="s">
        <v>410</v>
      </c>
      <c r="H252" s="21" t="s">
        <v>463</v>
      </c>
      <c r="I252" s="21" t="s">
        <v>464</v>
      </c>
      <c r="J252" s="9" t="s">
        <v>1610</v>
      </c>
      <c r="K252" s="9"/>
      <c r="L252" s="9" t="s">
        <v>1209</v>
      </c>
      <c r="M252" s="21" t="s">
        <v>467</v>
      </c>
    </row>
    <row r="253" ht="15.75" customHeight="1">
      <c r="A253" s="35" t="s">
        <v>1611</v>
      </c>
      <c r="B253" s="36" t="s">
        <v>1205</v>
      </c>
      <c r="C253" s="21" t="s">
        <v>143</v>
      </c>
      <c r="D253" s="9" t="s">
        <v>1612</v>
      </c>
      <c r="E253" s="9" t="s">
        <v>1613</v>
      </c>
      <c r="F253" s="9" t="s">
        <v>348</v>
      </c>
      <c r="G253" s="9" t="s">
        <v>1614</v>
      </c>
      <c r="H253" s="21" t="s">
        <v>463</v>
      </c>
      <c r="I253" s="21" t="s">
        <v>464</v>
      </c>
      <c r="J253" s="9" t="s">
        <v>1615</v>
      </c>
      <c r="K253" s="9"/>
      <c r="L253" s="9" t="s">
        <v>1209</v>
      </c>
      <c r="M253" s="21" t="s">
        <v>467</v>
      </c>
    </row>
    <row r="254" ht="15.75" customHeight="1">
      <c r="A254" s="35" t="s">
        <v>1616</v>
      </c>
      <c r="B254" s="36" t="s">
        <v>1205</v>
      </c>
      <c r="C254" s="21" t="s">
        <v>139</v>
      </c>
      <c r="D254" s="9" t="s">
        <v>1617</v>
      </c>
      <c r="E254" s="9" t="s">
        <v>1618</v>
      </c>
      <c r="F254" s="9" t="s">
        <v>284</v>
      </c>
      <c r="G254" s="9" t="s">
        <v>422</v>
      </c>
      <c r="H254" s="21" t="s">
        <v>463</v>
      </c>
      <c r="I254" s="21" t="s">
        <v>464</v>
      </c>
      <c r="J254" s="9" t="s">
        <v>1619</v>
      </c>
      <c r="K254" s="9"/>
      <c r="L254" s="9" t="s">
        <v>1209</v>
      </c>
      <c r="M254" s="21" t="s">
        <v>467</v>
      </c>
    </row>
    <row r="255" ht="15.75" customHeight="1">
      <c r="A255" s="37" t="s">
        <v>1620</v>
      </c>
      <c r="B255" s="38" t="s">
        <v>1621</v>
      </c>
      <c r="C255" s="21" t="s">
        <v>147</v>
      </c>
      <c r="D255" s="9" t="s">
        <v>1622</v>
      </c>
      <c r="E255" s="9" t="s">
        <v>1623</v>
      </c>
      <c r="F255" s="9" t="s">
        <v>1164</v>
      </c>
      <c r="G255" s="9"/>
      <c r="H255" s="21" t="s">
        <v>463</v>
      </c>
      <c r="I255" s="21" t="s">
        <v>464</v>
      </c>
      <c r="J255" s="9" t="s">
        <v>1624</v>
      </c>
      <c r="K255" s="9"/>
      <c r="L255" s="9" t="s">
        <v>1625</v>
      </c>
      <c r="M255" s="21" t="s">
        <v>467</v>
      </c>
    </row>
    <row r="256" ht="15.75" customHeight="1">
      <c r="A256" s="37" t="s">
        <v>1626</v>
      </c>
      <c r="B256" s="38" t="s">
        <v>1621</v>
      </c>
      <c r="C256" s="21" t="s">
        <v>147</v>
      </c>
      <c r="D256" s="9" t="s">
        <v>1627</v>
      </c>
      <c r="E256" s="9" t="s">
        <v>1628</v>
      </c>
      <c r="F256" s="9" t="s">
        <v>1164</v>
      </c>
      <c r="G256" s="9"/>
      <c r="H256" s="21" t="s">
        <v>463</v>
      </c>
      <c r="I256" s="21" t="s">
        <v>464</v>
      </c>
      <c r="J256" s="9" t="s">
        <v>1629</v>
      </c>
      <c r="K256" s="9"/>
      <c r="L256" s="9" t="s">
        <v>1625</v>
      </c>
      <c r="M256" s="21" t="s">
        <v>467</v>
      </c>
    </row>
    <row r="257" ht="15.75" customHeight="1">
      <c r="A257" s="37" t="s">
        <v>1630</v>
      </c>
      <c r="B257" s="38" t="s">
        <v>1621</v>
      </c>
      <c r="C257" s="21" t="s">
        <v>147</v>
      </c>
      <c r="D257" s="9" t="s">
        <v>1631</v>
      </c>
      <c r="E257" s="9" t="s">
        <v>1632</v>
      </c>
      <c r="F257" s="9" t="s">
        <v>1164</v>
      </c>
      <c r="G257" s="9"/>
      <c r="H257" s="21" t="s">
        <v>463</v>
      </c>
      <c r="I257" s="21" t="s">
        <v>464</v>
      </c>
      <c r="J257" s="9" t="s">
        <v>1633</v>
      </c>
      <c r="K257" s="9"/>
      <c r="L257" s="9" t="s">
        <v>1625</v>
      </c>
      <c r="M257" s="21" t="s">
        <v>467</v>
      </c>
    </row>
    <row r="258" ht="15.75" customHeight="1">
      <c r="A258" s="37" t="s">
        <v>1634</v>
      </c>
      <c r="B258" s="38" t="s">
        <v>1621</v>
      </c>
      <c r="C258" s="21" t="s">
        <v>147</v>
      </c>
      <c r="D258" s="9" t="s">
        <v>1635</v>
      </c>
      <c r="E258" s="9" t="s">
        <v>1636</v>
      </c>
      <c r="F258" s="9" t="s">
        <v>1164</v>
      </c>
      <c r="G258" s="9" t="s">
        <v>1066</v>
      </c>
      <c r="H258" s="21" t="s">
        <v>463</v>
      </c>
      <c r="I258" s="21" t="s">
        <v>464</v>
      </c>
      <c r="J258" s="9" t="s">
        <v>1637</v>
      </c>
      <c r="K258" s="9"/>
      <c r="L258" s="9" t="s">
        <v>1625</v>
      </c>
      <c r="M258" s="21" t="s">
        <v>467</v>
      </c>
    </row>
    <row r="259" ht="15.75" customHeight="1">
      <c r="A259" s="37" t="s">
        <v>1638</v>
      </c>
      <c r="B259" s="38" t="s">
        <v>1621</v>
      </c>
      <c r="C259" s="21" t="s">
        <v>115</v>
      </c>
      <c r="D259" s="9" t="s">
        <v>1639</v>
      </c>
      <c r="E259" s="9" t="s">
        <v>1640</v>
      </c>
      <c r="F259" s="9" t="s">
        <v>1164</v>
      </c>
      <c r="G259" s="9" t="s">
        <v>476</v>
      </c>
      <c r="H259" s="21" t="s">
        <v>463</v>
      </c>
      <c r="I259" s="21" t="s">
        <v>464</v>
      </c>
      <c r="J259" s="9" t="s">
        <v>1641</v>
      </c>
      <c r="K259" s="9"/>
      <c r="L259" s="9" t="s">
        <v>1625</v>
      </c>
      <c r="M259" s="21" t="s">
        <v>467</v>
      </c>
    </row>
    <row r="260" ht="15.75" customHeight="1">
      <c r="A260" s="37" t="s">
        <v>1642</v>
      </c>
      <c r="B260" s="38" t="s">
        <v>1621</v>
      </c>
      <c r="C260" s="21" t="s">
        <v>131</v>
      </c>
      <c r="D260" s="9" t="s">
        <v>1643</v>
      </c>
      <c r="E260" s="9" t="s">
        <v>1644</v>
      </c>
      <c r="F260" s="9" t="s">
        <v>215</v>
      </c>
      <c r="G260" s="9" t="s">
        <v>1645</v>
      </c>
      <c r="H260" s="21" t="s">
        <v>463</v>
      </c>
      <c r="I260" s="21" t="s">
        <v>464</v>
      </c>
      <c r="J260" s="9" t="s">
        <v>1646</v>
      </c>
      <c r="K260" s="9"/>
      <c r="L260" s="9" t="s">
        <v>1647</v>
      </c>
      <c r="M260" s="21" t="s">
        <v>467</v>
      </c>
    </row>
    <row r="261" ht="15.75" customHeight="1">
      <c r="A261" s="37" t="s">
        <v>1648</v>
      </c>
      <c r="B261" s="38" t="s">
        <v>1621</v>
      </c>
      <c r="C261" s="21" t="s">
        <v>131</v>
      </c>
      <c r="D261" s="9" t="s">
        <v>1649</v>
      </c>
      <c r="E261" s="9" t="s">
        <v>1650</v>
      </c>
      <c r="F261" s="9" t="s">
        <v>317</v>
      </c>
      <c r="G261" s="9" t="s">
        <v>808</v>
      </c>
      <c r="H261" s="21" t="s">
        <v>463</v>
      </c>
      <c r="I261" s="21" t="s">
        <v>464</v>
      </c>
      <c r="J261" s="9" t="s">
        <v>1651</v>
      </c>
      <c r="K261" s="9"/>
      <c r="L261" s="9" t="s">
        <v>1647</v>
      </c>
      <c r="M261" s="21" t="s">
        <v>467</v>
      </c>
    </row>
    <row r="262" ht="15.75" customHeight="1">
      <c r="A262" s="37" t="s">
        <v>1652</v>
      </c>
      <c r="B262" s="38" t="s">
        <v>1621</v>
      </c>
      <c r="C262" s="21" t="s">
        <v>131</v>
      </c>
      <c r="D262" s="9" t="s">
        <v>1653</v>
      </c>
      <c r="E262" s="9" t="s">
        <v>1654</v>
      </c>
      <c r="F262" s="9" t="s">
        <v>349</v>
      </c>
      <c r="G262" s="9" t="s">
        <v>1500</v>
      </c>
      <c r="H262" s="21" t="s">
        <v>463</v>
      </c>
      <c r="I262" s="21" t="s">
        <v>464</v>
      </c>
      <c r="J262" s="9" t="s">
        <v>1655</v>
      </c>
      <c r="K262" s="9"/>
      <c r="L262" s="9" t="s">
        <v>1647</v>
      </c>
      <c r="M262" s="21" t="s">
        <v>467</v>
      </c>
    </row>
    <row r="263" ht="15.75" customHeight="1">
      <c r="A263" s="37" t="s">
        <v>1656</v>
      </c>
      <c r="B263" s="38" t="s">
        <v>1621</v>
      </c>
      <c r="C263" s="21" t="s">
        <v>131</v>
      </c>
      <c r="D263" s="9" t="s">
        <v>1657</v>
      </c>
      <c r="E263" s="9" t="s">
        <v>1658</v>
      </c>
      <c r="F263" s="9" t="s">
        <v>349</v>
      </c>
      <c r="G263" s="9" t="s">
        <v>1659</v>
      </c>
      <c r="H263" s="21" t="s">
        <v>463</v>
      </c>
      <c r="I263" s="21" t="s">
        <v>464</v>
      </c>
      <c r="J263" s="9" t="s">
        <v>1660</v>
      </c>
      <c r="K263" s="9"/>
      <c r="L263" s="9" t="s">
        <v>1661</v>
      </c>
      <c r="M263" s="21" t="s">
        <v>467</v>
      </c>
    </row>
    <row r="264" ht="15.75" customHeight="1">
      <c r="A264" s="37" t="s">
        <v>1662</v>
      </c>
      <c r="B264" s="38" t="s">
        <v>1621</v>
      </c>
      <c r="C264" s="21" t="s">
        <v>131</v>
      </c>
      <c r="D264" s="9" t="s">
        <v>1663</v>
      </c>
      <c r="E264" s="9" t="s">
        <v>1664</v>
      </c>
      <c r="F264" s="9" t="s">
        <v>349</v>
      </c>
      <c r="G264" s="9" t="s">
        <v>1665</v>
      </c>
      <c r="H264" s="21" t="s">
        <v>556</v>
      </c>
      <c r="I264" s="21" t="s">
        <v>557</v>
      </c>
      <c r="J264" s="9" t="s">
        <v>1666</v>
      </c>
      <c r="K264" s="9" t="s">
        <v>1667</v>
      </c>
      <c r="L264" s="9" t="s">
        <v>1661</v>
      </c>
      <c r="M264" s="21" t="s">
        <v>467</v>
      </c>
    </row>
    <row r="265" ht="15.75" customHeight="1">
      <c r="A265" s="37" t="s">
        <v>1668</v>
      </c>
      <c r="B265" s="38" t="s">
        <v>1621</v>
      </c>
      <c r="C265" s="21" t="s">
        <v>117</v>
      </c>
      <c r="D265" s="9" t="s">
        <v>1669</v>
      </c>
      <c r="E265" s="9" t="s">
        <v>1670</v>
      </c>
      <c r="F265" s="9" t="s">
        <v>284</v>
      </c>
      <c r="G265" s="9" t="s">
        <v>1671</v>
      </c>
      <c r="H265" s="21" t="s">
        <v>463</v>
      </c>
      <c r="I265" s="21" t="s">
        <v>464</v>
      </c>
      <c r="J265" s="9" t="s">
        <v>1672</v>
      </c>
      <c r="K265" s="9"/>
      <c r="L265" s="9" t="s">
        <v>1661</v>
      </c>
      <c r="M265" s="21" t="s">
        <v>467</v>
      </c>
    </row>
    <row r="266" ht="15.75" customHeight="1">
      <c r="A266" s="37" t="s">
        <v>1673</v>
      </c>
      <c r="B266" s="38" t="s">
        <v>1621</v>
      </c>
      <c r="C266" s="21" t="s">
        <v>141</v>
      </c>
      <c r="D266" s="9" t="s">
        <v>1674</v>
      </c>
      <c r="E266" s="9" t="s">
        <v>1675</v>
      </c>
      <c r="F266" s="9" t="s">
        <v>215</v>
      </c>
      <c r="G266" s="9" t="s">
        <v>1676</v>
      </c>
      <c r="H266" s="21" t="s">
        <v>463</v>
      </c>
      <c r="I266" s="21" t="s">
        <v>464</v>
      </c>
      <c r="J266" s="9" t="s">
        <v>1677</v>
      </c>
      <c r="K266" s="9"/>
      <c r="L266" s="9" t="s">
        <v>1661</v>
      </c>
      <c r="M266" s="21" t="s">
        <v>467</v>
      </c>
    </row>
    <row r="267" ht="15.75" customHeight="1">
      <c r="A267" s="37" t="s">
        <v>1678</v>
      </c>
      <c r="B267" s="38" t="s">
        <v>1621</v>
      </c>
      <c r="C267" s="21" t="s">
        <v>147</v>
      </c>
      <c r="D267" s="9" t="s">
        <v>1679</v>
      </c>
      <c r="E267" s="9" t="s">
        <v>1680</v>
      </c>
      <c r="F267" s="9" t="s">
        <v>349</v>
      </c>
      <c r="G267" s="9"/>
      <c r="H267" s="21" t="s">
        <v>463</v>
      </c>
      <c r="I267" s="21" t="s">
        <v>464</v>
      </c>
      <c r="J267" s="9" t="s">
        <v>1681</v>
      </c>
      <c r="K267" s="9"/>
      <c r="L267" s="9" t="s">
        <v>1661</v>
      </c>
      <c r="M267" s="21" t="s">
        <v>467</v>
      </c>
    </row>
    <row r="268" ht="15.75" customHeight="1">
      <c r="A268" s="37" t="s">
        <v>1682</v>
      </c>
      <c r="B268" s="38" t="s">
        <v>1621</v>
      </c>
      <c r="C268" s="21" t="s">
        <v>147</v>
      </c>
      <c r="D268" s="9" t="s">
        <v>1683</v>
      </c>
      <c r="E268" s="9" t="s">
        <v>1684</v>
      </c>
      <c r="F268" s="9" t="s">
        <v>284</v>
      </c>
      <c r="G268" s="9"/>
      <c r="H268" s="21" t="s">
        <v>463</v>
      </c>
      <c r="I268" s="21" t="s">
        <v>464</v>
      </c>
      <c r="J268" s="9" t="s">
        <v>1685</v>
      </c>
      <c r="K268" s="9"/>
      <c r="L268" s="9" t="s">
        <v>1686</v>
      </c>
      <c r="M268" s="21" t="s">
        <v>467</v>
      </c>
    </row>
    <row r="269" ht="15.75" customHeight="1">
      <c r="A269" s="37" t="s">
        <v>1687</v>
      </c>
      <c r="B269" s="38" t="s">
        <v>1621</v>
      </c>
      <c r="C269" s="21" t="s">
        <v>147</v>
      </c>
      <c r="D269" s="9" t="s">
        <v>1688</v>
      </c>
      <c r="E269" s="9" t="s">
        <v>1689</v>
      </c>
      <c r="F269" s="9" t="s">
        <v>1164</v>
      </c>
      <c r="G269" s="9"/>
      <c r="H269" s="21" t="s">
        <v>463</v>
      </c>
      <c r="I269" s="21" t="s">
        <v>464</v>
      </c>
      <c r="J269" s="9" t="s">
        <v>1690</v>
      </c>
      <c r="K269" s="9"/>
      <c r="L269" s="9" t="s">
        <v>1686</v>
      </c>
      <c r="M269" s="21" t="s">
        <v>467</v>
      </c>
    </row>
    <row r="270" ht="15.75" customHeight="1">
      <c r="A270" s="37" t="s">
        <v>1691</v>
      </c>
      <c r="B270" s="38" t="s">
        <v>1621</v>
      </c>
      <c r="C270" s="21" t="s">
        <v>147</v>
      </c>
      <c r="D270" s="9" t="s">
        <v>1692</v>
      </c>
      <c r="E270" s="9" t="s">
        <v>1693</v>
      </c>
      <c r="F270" s="9" t="s">
        <v>1164</v>
      </c>
      <c r="G270" s="9"/>
      <c r="H270" s="21" t="s">
        <v>463</v>
      </c>
      <c r="I270" s="21" t="s">
        <v>464</v>
      </c>
      <c r="J270" s="9" t="s">
        <v>1694</v>
      </c>
      <c r="K270" s="9"/>
      <c r="L270" s="9" t="s">
        <v>1686</v>
      </c>
      <c r="M270" s="21" t="s">
        <v>467</v>
      </c>
    </row>
    <row r="271" ht="15.75" customHeight="1">
      <c r="A271" s="37" t="s">
        <v>1695</v>
      </c>
      <c r="B271" s="38" t="s">
        <v>1621</v>
      </c>
      <c r="C271" s="21" t="s">
        <v>147</v>
      </c>
      <c r="D271" s="9" t="s">
        <v>1696</v>
      </c>
      <c r="E271" s="9" t="s">
        <v>1697</v>
      </c>
      <c r="F271" s="9" t="s">
        <v>284</v>
      </c>
      <c r="G271" s="9" t="s">
        <v>682</v>
      </c>
      <c r="H271" s="21" t="s">
        <v>463</v>
      </c>
      <c r="I271" s="21" t="s">
        <v>464</v>
      </c>
      <c r="J271" s="9" t="s">
        <v>1698</v>
      </c>
      <c r="K271" s="9"/>
      <c r="L271" s="9" t="s">
        <v>1686</v>
      </c>
      <c r="M271" s="21" t="s">
        <v>467</v>
      </c>
    </row>
    <row r="272" ht="15.75" customHeight="1">
      <c r="A272" s="37" t="s">
        <v>1699</v>
      </c>
      <c r="B272" s="38" t="s">
        <v>1621</v>
      </c>
      <c r="C272" s="21" t="s">
        <v>147</v>
      </c>
      <c r="D272" s="9" t="s">
        <v>1700</v>
      </c>
      <c r="E272" s="9" t="s">
        <v>1701</v>
      </c>
      <c r="F272" s="9" t="s">
        <v>1164</v>
      </c>
      <c r="G272" s="9"/>
      <c r="H272" s="21" t="s">
        <v>463</v>
      </c>
      <c r="I272" s="21" t="s">
        <v>464</v>
      </c>
      <c r="J272" s="9" t="s">
        <v>1702</v>
      </c>
      <c r="K272" s="9"/>
      <c r="L272" s="9" t="s">
        <v>1625</v>
      </c>
      <c r="M272" s="21" t="s">
        <v>467</v>
      </c>
    </row>
    <row r="273" ht="15.75" customHeight="1">
      <c r="A273" s="37" t="s">
        <v>1703</v>
      </c>
      <c r="B273" s="38" t="s">
        <v>1621</v>
      </c>
      <c r="C273" s="21" t="s">
        <v>131</v>
      </c>
      <c r="D273" s="9" t="s">
        <v>1704</v>
      </c>
      <c r="E273" s="9" t="s">
        <v>1705</v>
      </c>
      <c r="F273" s="9" t="s">
        <v>1164</v>
      </c>
      <c r="G273" s="9" t="s">
        <v>752</v>
      </c>
      <c r="H273" s="21" t="s">
        <v>463</v>
      </c>
      <c r="I273" s="21" t="s">
        <v>464</v>
      </c>
      <c r="J273" s="9" t="s">
        <v>1706</v>
      </c>
      <c r="K273" s="9"/>
      <c r="L273" s="9" t="s">
        <v>1647</v>
      </c>
      <c r="M273" s="21" t="s">
        <v>467</v>
      </c>
    </row>
    <row r="274" ht="15.75" customHeight="1">
      <c r="A274" s="37" t="s">
        <v>1707</v>
      </c>
      <c r="B274" s="38" t="s">
        <v>1621</v>
      </c>
      <c r="C274" s="21" t="s">
        <v>119</v>
      </c>
      <c r="D274" s="9" t="s">
        <v>1708</v>
      </c>
      <c r="E274" s="9" t="s">
        <v>1709</v>
      </c>
      <c r="F274" s="9" t="s">
        <v>215</v>
      </c>
      <c r="G274" s="9" t="s">
        <v>536</v>
      </c>
      <c r="H274" s="21" t="s">
        <v>463</v>
      </c>
      <c r="I274" s="21" t="s">
        <v>464</v>
      </c>
      <c r="J274" s="9" t="s">
        <v>1710</v>
      </c>
      <c r="K274" s="9" t="s">
        <v>1283</v>
      </c>
      <c r="L274" s="9" t="s">
        <v>1686</v>
      </c>
      <c r="M274" s="21" t="s">
        <v>467</v>
      </c>
    </row>
    <row r="275" ht="15.75" customHeight="1">
      <c r="A275" s="37" t="s">
        <v>1711</v>
      </c>
      <c r="B275" s="38" t="s">
        <v>1621</v>
      </c>
      <c r="C275" s="21" t="s">
        <v>121</v>
      </c>
      <c r="D275" s="9" t="s">
        <v>1712</v>
      </c>
      <c r="E275" s="9" t="s">
        <v>1713</v>
      </c>
      <c r="F275" s="9" t="s">
        <v>317</v>
      </c>
      <c r="G275" s="9" t="s">
        <v>354</v>
      </c>
      <c r="H275" s="21" t="s">
        <v>463</v>
      </c>
      <c r="I275" s="21" t="s">
        <v>464</v>
      </c>
      <c r="J275" s="9" t="s">
        <v>1714</v>
      </c>
      <c r="K275" s="9"/>
      <c r="L275" s="9" t="s">
        <v>1686</v>
      </c>
      <c r="M275" s="21" t="s">
        <v>467</v>
      </c>
    </row>
    <row r="276" ht="15.75" customHeight="1">
      <c r="A276" s="37" t="s">
        <v>1715</v>
      </c>
      <c r="B276" s="38" t="s">
        <v>1621</v>
      </c>
      <c r="C276" s="21" t="s">
        <v>117</v>
      </c>
      <c r="D276" s="9" t="s">
        <v>1716</v>
      </c>
      <c r="E276" s="9" t="s">
        <v>1717</v>
      </c>
      <c r="F276" s="9" t="s">
        <v>284</v>
      </c>
      <c r="G276" s="9" t="s">
        <v>1718</v>
      </c>
      <c r="H276" s="21" t="s">
        <v>463</v>
      </c>
      <c r="I276" s="21" t="s">
        <v>464</v>
      </c>
      <c r="J276" s="9" t="s">
        <v>1719</v>
      </c>
      <c r="K276" s="9"/>
      <c r="L276" s="9" t="s">
        <v>1661</v>
      </c>
      <c r="M276" s="21" t="s">
        <v>467</v>
      </c>
    </row>
    <row r="277" ht="15.75" customHeight="1">
      <c r="A277" s="39" t="s">
        <v>1720</v>
      </c>
      <c r="B277" s="40" t="s">
        <v>1721</v>
      </c>
      <c r="C277" s="21" t="s">
        <v>147</v>
      </c>
      <c r="D277" s="9" t="s">
        <v>1722</v>
      </c>
      <c r="E277" s="9" t="s">
        <v>1723</v>
      </c>
      <c r="F277" s="9" t="s">
        <v>215</v>
      </c>
      <c r="G277" s="9" t="s">
        <v>531</v>
      </c>
      <c r="H277" s="21" t="s">
        <v>463</v>
      </c>
      <c r="I277" s="21" t="s">
        <v>464</v>
      </c>
      <c r="J277" s="9" t="s">
        <v>1724</v>
      </c>
      <c r="K277" s="9"/>
      <c r="L277" s="9" t="s">
        <v>38</v>
      </c>
      <c r="M277" s="21" t="s">
        <v>467</v>
      </c>
    </row>
    <row r="278" ht="15.75" customHeight="1">
      <c r="A278" s="39" t="s">
        <v>1725</v>
      </c>
      <c r="B278" s="40" t="s">
        <v>1721</v>
      </c>
      <c r="C278" s="21" t="s">
        <v>147</v>
      </c>
      <c r="D278" s="9" t="s">
        <v>1726</v>
      </c>
      <c r="E278" s="9" t="s">
        <v>1727</v>
      </c>
      <c r="F278" s="9" t="s">
        <v>349</v>
      </c>
      <c r="G278" s="9" t="s">
        <v>1728</v>
      </c>
      <c r="H278" s="21" t="s">
        <v>463</v>
      </c>
      <c r="I278" s="21" t="s">
        <v>464</v>
      </c>
      <c r="J278" s="9" t="s">
        <v>1729</v>
      </c>
      <c r="K278" s="9"/>
      <c r="L278" s="9" t="s">
        <v>38</v>
      </c>
      <c r="M278" s="21" t="s">
        <v>467</v>
      </c>
    </row>
    <row r="279" ht="15.75" customHeight="1">
      <c r="A279" s="39" t="s">
        <v>1730</v>
      </c>
      <c r="B279" s="40" t="s">
        <v>1721</v>
      </c>
      <c r="C279" s="21" t="s">
        <v>121</v>
      </c>
      <c r="D279" s="9" t="s">
        <v>1731</v>
      </c>
      <c r="E279" s="9" t="s">
        <v>1732</v>
      </c>
      <c r="F279" s="9" t="s">
        <v>251</v>
      </c>
      <c r="G279" s="9" t="s">
        <v>1733</v>
      </c>
      <c r="H279" s="21" t="s">
        <v>463</v>
      </c>
      <c r="I279" s="21" t="s">
        <v>464</v>
      </c>
      <c r="J279" s="9" t="s">
        <v>1734</v>
      </c>
      <c r="K279" s="9"/>
      <c r="L279" s="9" t="s">
        <v>38</v>
      </c>
      <c r="M279" s="21" t="s">
        <v>467</v>
      </c>
    </row>
    <row r="280" ht="15.75" customHeight="1">
      <c r="A280" s="39" t="s">
        <v>1735</v>
      </c>
      <c r="B280" s="40" t="s">
        <v>1721</v>
      </c>
      <c r="C280" s="21" t="s">
        <v>127</v>
      </c>
      <c r="D280" s="9" t="s">
        <v>1736</v>
      </c>
      <c r="E280" s="9" t="s">
        <v>1737</v>
      </c>
      <c r="F280" s="9" t="s">
        <v>251</v>
      </c>
      <c r="G280" s="9" t="s">
        <v>699</v>
      </c>
      <c r="H280" s="21" t="s">
        <v>463</v>
      </c>
      <c r="I280" s="21" t="s">
        <v>464</v>
      </c>
      <c r="J280" s="9" t="s">
        <v>1738</v>
      </c>
      <c r="K280" s="9"/>
      <c r="L280" s="9" t="s">
        <v>38</v>
      </c>
      <c r="M280" s="21" t="s">
        <v>467</v>
      </c>
    </row>
    <row r="281" ht="15.75" customHeight="1">
      <c r="A281" s="39" t="s">
        <v>1739</v>
      </c>
      <c r="B281" s="40" t="s">
        <v>1721</v>
      </c>
      <c r="C281" s="21" t="s">
        <v>137</v>
      </c>
      <c r="D281" s="9" t="s">
        <v>1740</v>
      </c>
      <c r="E281" s="9" t="s">
        <v>1741</v>
      </c>
      <c r="F281" s="9" t="s">
        <v>348</v>
      </c>
      <c r="G281" s="9" t="s">
        <v>1742</v>
      </c>
      <c r="H281" s="21" t="s">
        <v>463</v>
      </c>
      <c r="I281" s="21" t="s">
        <v>464</v>
      </c>
      <c r="J281" s="9" t="s">
        <v>1743</v>
      </c>
      <c r="K281" s="9"/>
      <c r="L281" s="9" t="s">
        <v>38</v>
      </c>
      <c r="M281" s="21" t="s">
        <v>467</v>
      </c>
    </row>
    <row r="282" ht="15.75" customHeight="1">
      <c r="A282" s="39" t="s">
        <v>1744</v>
      </c>
      <c r="B282" s="40" t="s">
        <v>1721</v>
      </c>
      <c r="C282" s="21" t="s">
        <v>133</v>
      </c>
      <c r="D282" s="9" t="s">
        <v>1745</v>
      </c>
      <c r="E282" s="9" t="s">
        <v>1746</v>
      </c>
      <c r="F282" s="9" t="s">
        <v>251</v>
      </c>
      <c r="G282" s="9" t="s">
        <v>194</v>
      </c>
      <c r="H282" s="21" t="s">
        <v>463</v>
      </c>
      <c r="I282" s="21" t="s">
        <v>464</v>
      </c>
      <c r="J282" s="9" t="s">
        <v>1747</v>
      </c>
      <c r="K282" s="9" t="s">
        <v>1748</v>
      </c>
      <c r="L282" s="9" t="s">
        <v>38</v>
      </c>
      <c r="M282" s="21" t="s">
        <v>467</v>
      </c>
    </row>
    <row r="283" ht="15.75" customHeight="1">
      <c r="A283" s="39" t="s">
        <v>1749</v>
      </c>
      <c r="B283" s="40" t="s">
        <v>1721</v>
      </c>
      <c r="C283" s="21" t="s">
        <v>135</v>
      </c>
      <c r="D283" s="9" t="s">
        <v>1750</v>
      </c>
      <c r="E283" s="9" t="s">
        <v>1751</v>
      </c>
      <c r="F283" s="9" t="s">
        <v>251</v>
      </c>
      <c r="G283" s="9" t="s">
        <v>883</v>
      </c>
      <c r="H283" s="21" t="s">
        <v>556</v>
      </c>
      <c r="I283" s="21" t="s">
        <v>557</v>
      </c>
      <c r="J283" s="9" t="s">
        <v>1752</v>
      </c>
      <c r="K283" s="9"/>
      <c r="L283" s="9" t="s">
        <v>38</v>
      </c>
      <c r="M283" s="21" t="s">
        <v>467</v>
      </c>
    </row>
    <row r="284" ht="15.75" customHeight="1">
      <c r="A284" s="39" t="s">
        <v>1753</v>
      </c>
      <c r="B284" s="40" t="s">
        <v>1721</v>
      </c>
      <c r="C284" s="21" t="s">
        <v>121</v>
      </c>
      <c r="D284" s="9" t="s">
        <v>1754</v>
      </c>
      <c r="E284" s="9" t="s">
        <v>1755</v>
      </c>
      <c r="F284" s="9" t="s">
        <v>317</v>
      </c>
      <c r="G284" s="9" t="s">
        <v>637</v>
      </c>
      <c r="H284" s="21" t="s">
        <v>556</v>
      </c>
      <c r="I284" s="21" t="s">
        <v>557</v>
      </c>
      <c r="J284" s="9" t="s">
        <v>1756</v>
      </c>
      <c r="K284" s="9"/>
      <c r="L284" s="9" t="s">
        <v>38</v>
      </c>
      <c r="M284" s="21" t="s">
        <v>467</v>
      </c>
    </row>
    <row r="285" ht="15.75" customHeight="1">
      <c r="A285" s="39" t="s">
        <v>1757</v>
      </c>
      <c r="B285" s="40" t="s">
        <v>1721</v>
      </c>
      <c r="C285" s="21" t="s">
        <v>127</v>
      </c>
      <c r="D285" s="9" t="s">
        <v>1758</v>
      </c>
      <c r="E285" s="9" t="s">
        <v>1759</v>
      </c>
      <c r="F285" s="9" t="s">
        <v>251</v>
      </c>
      <c r="G285" s="9" t="s">
        <v>1760</v>
      </c>
      <c r="H285" s="21" t="s">
        <v>463</v>
      </c>
      <c r="I285" s="21" t="s">
        <v>464</v>
      </c>
      <c r="J285" s="9" t="s">
        <v>1761</v>
      </c>
      <c r="K285" s="9"/>
      <c r="L285" s="9" t="s">
        <v>38</v>
      </c>
      <c r="M285" s="21" t="s">
        <v>467</v>
      </c>
    </row>
    <row r="286" ht="15.75" customHeight="1">
      <c r="A286" s="39" t="s">
        <v>1762</v>
      </c>
      <c r="B286" s="40" t="s">
        <v>1721</v>
      </c>
      <c r="C286" s="21" t="s">
        <v>147</v>
      </c>
      <c r="D286" s="9" t="s">
        <v>1763</v>
      </c>
      <c r="E286" s="9" t="s">
        <v>1764</v>
      </c>
      <c r="F286" s="9" t="s">
        <v>215</v>
      </c>
      <c r="G286" s="9" t="s">
        <v>412</v>
      </c>
      <c r="H286" s="21" t="s">
        <v>556</v>
      </c>
      <c r="I286" s="21" t="s">
        <v>557</v>
      </c>
      <c r="J286" s="9" t="s">
        <v>1765</v>
      </c>
      <c r="K286" s="9"/>
      <c r="L286" s="9" t="s">
        <v>38</v>
      </c>
      <c r="M286" s="21" t="s">
        <v>467</v>
      </c>
    </row>
    <row r="287" ht="15.75" customHeight="1">
      <c r="A287" s="39" t="s">
        <v>1766</v>
      </c>
      <c r="B287" s="40" t="s">
        <v>1721</v>
      </c>
      <c r="C287" s="21" t="s">
        <v>131</v>
      </c>
      <c r="D287" s="9" t="s">
        <v>1767</v>
      </c>
      <c r="E287" s="9" t="s">
        <v>1768</v>
      </c>
      <c r="F287" s="9" t="s">
        <v>349</v>
      </c>
      <c r="G287" s="9" t="s">
        <v>1500</v>
      </c>
      <c r="H287" s="21" t="s">
        <v>463</v>
      </c>
      <c r="I287" s="21" t="s">
        <v>464</v>
      </c>
      <c r="J287" s="9" t="s">
        <v>1769</v>
      </c>
      <c r="K287" s="9" t="s">
        <v>1770</v>
      </c>
      <c r="L287" s="9" t="s">
        <v>38</v>
      </c>
      <c r="M287" s="21" t="s">
        <v>467</v>
      </c>
    </row>
    <row r="288" ht="15.75" customHeight="1">
      <c r="A288" s="39" t="s">
        <v>1771</v>
      </c>
      <c r="B288" s="40" t="s">
        <v>1721</v>
      </c>
      <c r="C288" s="21" t="s">
        <v>131</v>
      </c>
      <c r="D288" s="9" t="s">
        <v>1772</v>
      </c>
      <c r="E288" s="9" t="s">
        <v>1773</v>
      </c>
      <c r="F288" s="9" t="s">
        <v>317</v>
      </c>
      <c r="G288" s="9" t="s">
        <v>1194</v>
      </c>
      <c r="H288" s="21" t="s">
        <v>463</v>
      </c>
      <c r="I288" s="21" t="s">
        <v>464</v>
      </c>
      <c r="J288" s="9" t="s">
        <v>1774</v>
      </c>
      <c r="K288" s="9"/>
      <c r="L288" s="9" t="s">
        <v>38</v>
      </c>
      <c r="M288" s="21" t="s">
        <v>467</v>
      </c>
    </row>
    <row r="289" ht="15.75" customHeight="1">
      <c r="A289" s="39" t="s">
        <v>1775</v>
      </c>
      <c r="B289" s="40" t="s">
        <v>1721</v>
      </c>
      <c r="C289" s="21" t="s">
        <v>147</v>
      </c>
      <c r="D289" s="9" t="s">
        <v>1776</v>
      </c>
      <c r="E289" s="9" t="s">
        <v>1777</v>
      </c>
      <c r="F289" s="9" t="s">
        <v>349</v>
      </c>
      <c r="G289" s="9"/>
      <c r="H289" s="21" t="s">
        <v>463</v>
      </c>
      <c r="I289" s="21" t="s">
        <v>464</v>
      </c>
      <c r="J289" s="9" t="s">
        <v>1778</v>
      </c>
      <c r="K289" s="9"/>
      <c r="L289" s="9" t="s">
        <v>38</v>
      </c>
      <c r="M289" s="21" t="s">
        <v>467</v>
      </c>
    </row>
    <row r="290" ht="15.75" customHeight="1">
      <c r="A290" s="39" t="s">
        <v>1779</v>
      </c>
      <c r="B290" s="40" t="s">
        <v>1721</v>
      </c>
      <c r="C290" s="21" t="s">
        <v>145</v>
      </c>
      <c r="D290" s="9" t="s">
        <v>1780</v>
      </c>
      <c r="E290" s="9" t="s">
        <v>1781</v>
      </c>
      <c r="F290" s="9" t="s">
        <v>251</v>
      </c>
      <c r="G290" s="9" t="s">
        <v>1782</v>
      </c>
      <c r="H290" s="21" t="s">
        <v>482</v>
      </c>
      <c r="I290" s="21" t="s">
        <v>483</v>
      </c>
      <c r="J290" s="9" t="s">
        <v>1783</v>
      </c>
      <c r="K290" s="9"/>
      <c r="L290" s="9" t="s">
        <v>38</v>
      </c>
      <c r="M290" s="21" t="s">
        <v>467</v>
      </c>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90"/>
  <dataValidations>
    <dataValidation type="list" allowBlank="1" sqref="H5:H290">
      <formula1>"Must,Should,Could"</formula1>
    </dataValidation>
    <dataValidation type="list" allowBlank="1" sqref="M5:M290">
      <formula1>"Dự thảo,Đã rà soát,Đã duyệt,Thay đổi,Hủy"</formula1>
    </dataValidation>
    <dataValidation type="list" allowBlank="1" sqref="I5:I290">
      <formula1>"Pha 1,Pha 2,Pha 3"</formula1>
    </dataValidation>
    <dataValidation type="list" allowBlank="1" sqref="B5:B290">
      <formula1>"Functional BR,Non-functional BR,Business Rule,Business Constraint,Business Goal"</formula1>
    </dataValidation>
  </dataValidations>
  <printOptions/>
  <pageMargins bottom="1.0" footer="0.0" header="0.0" left="0.75" right="0.75" top="1.0"/>
  <pageSetup fitToHeight="0"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8.0"/>
    <col customWidth="1" min="2" max="2" width="31.57"/>
    <col customWidth="1" min="3" max="3" width="8.0"/>
    <col customWidth="1" min="4" max="4" width="13.0"/>
    <col customWidth="1" min="5" max="5" width="16.0"/>
    <col customWidth="1" min="6" max="6" width="9.0"/>
    <col customWidth="1" min="7" max="7" width="13.29"/>
    <col customWidth="1" min="8" max="9" width="28.0"/>
    <col customWidth="1" min="10" max="10" width="62.0"/>
    <col customWidth="1" min="11" max="11" width="46.0"/>
    <col customWidth="1" min="12" max="12" width="30.0"/>
    <col customWidth="1" min="13" max="13" width="16.0"/>
    <col customWidth="1" min="14" max="14" width="7.0"/>
    <col customWidth="1" min="15" max="15" width="23.86"/>
    <col customWidth="1" min="16" max="16" width="10.0"/>
    <col customWidth="1" min="17" max="17" width="8.0"/>
    <col customWidth="1" min="18" max="18" width="11.0"/>
    <col customWidth="1" min="19" max="20" width="15.86"/>
    <col customWidth="1" min="21" max="21" width="8.71"/>
  </cols>
  <sheetData>
    <row r="1" ht="25.5" customHeight="1">
      <c r="A1" s="1" t="s">
        <v>1784</v>
      </c>
    </row>
    <row r="2">
      <c r="A2" s="2" t="s">
        <v>1785</v>
      </c>
    </row>
    <row r="4" ht="39.75" customHeight="1">
      <c r="A4" s="8" t="s">
        <v>1786</v>
      </c>
      <c r="B4" s="8" t="s">
        <v>1787</v>
      </c>
      <c r="C4" s="8" t="s">
        <v>449</v>
      </c>
      <c r="D4" s="8" t="s">
        <v>1788</v>
      </c>
      <c r="E4" s="8" t="s">
        <v>1789</v>
      </c>
      <c r="F4" s="8" t="s">
        <v>454</v>
      </c>
      <c r="G4" s="8" t="s">
        <v>455</v>
      </c>
      <c r="H4" s="8" t="s">
        <v>1790</v>
      </c>
      <c r="I4" s="8" t="s">
        <v>1791</v>
      </c>
      <c r="J4" s="8" t="s">
        <v>1792</v>
      </c>
      <c r="K4" s="8" t="s">
        <v>1793</v>
      </c>
      <c r="L4" s="8" t="s">
        <v>1794</v>
      </c>
      <c r="M4" s="8" t="s">
        <v>54</v>
      </c>
      <c r="N4" s="8" t="s">
        <v>1795</v>
      </c>
      <c r="O4" s="41" t="s">
        <v>1796</v>
      </c>
      <c r="P4" s="8" t="s">
        <v>1797</v>
      </c>
      <c r="Q4" s="8" t="s">
        <v>1798</v>
      </c>
      <c r="R4" s="8" t="s">
        <v>11</v>
      </c>
      <c r="S4" s="41" t="s">
        <v>1799</v>
      </c>
      <c r="T4" s="41" t="s">
        <v>1800</v>
      </c>
    </row>
    <row r="5">
      <c r="A5" s="25" t="s">
        <v>287</v>
      </c>
      <c r="B5" s="9" t="s">
        <v>461</v>
      </c>
      <c r="C5" s="21" t="s">
        <v>115</v>
      </c>
      <c r="D5" s="9" t="s">
        <v>347</v>
      </c>
      <c r="E5" s="9" t="s">
        <v>333</v>
      </c>
      <c r="F5" s="21" t="s">
        <v>463</v>
      </c>
      <c r="G5" s="21" t="s">
        <v>464</v>
      </c>
      <c r="H5" s="9" t="s">
        <v>1801</v>
      </c>
      <c r="I5" s="9" t="s">
        <v>1802</v>
      </c>
      <c r="J5" s="9" t="s">
        <v>1803</v>
      </c>
      <c r="K5" s="9" t="s">
        <v>1804</v>
      </c>
      <c r="L5" s="9" t="s">
        <v>1805</v>
      </c>
      <c r="M5" s="9" t="s">
        <v>1806</v>
      </c>
      <c r="N5" s="21">
        <f>COUNTIF('10_API'!$G:$G,A5)</f>
        <v>1</v>
      </c>
      <c r="O5" s="42" t="str">
        <f>VLOOKUP(A5, '15_Chia task(UC)'!$D$7:$G$69, 3, FALSE)</f>
        <v>Lư Hữu Luân</v>
      </c>
      <c r="P5" s="43" t="str">
        <f>VLOOKUP(A5, '15_Chia task(UC)'!$D$7:$G$69, 4, FALSE)</f>
        <v>Sprint 1</v>
      </c>
      <c r="Q5" s="21">
        <f t="shared" ref="Q5:Q67" si="1">IF(O5="Trần Công Thuận", 6, 8)</f>
        <v>8</v>
      </c>
      <c r="R5" s="21" t="s">
        <v>467</v>
      </c>
      <c r="S5" s="44">
        <f>VLOOKUP(A5, '15_Chia task(UC)'!$D$7:$I$69, 5, FALSE)</f>
        <v>46305</v>
      </c>
      <c r="T5" s="44">
        <f>VLOOKUP(A5, '15_Chia task(UC)'!$D$7:$I$69, 6, FALSE)</f>
        <v>46307</v>
      </c>
    </row>
    <row r="6">
      <c r="A6" s="25" t="s">
        <v>471</v>
      </c>
      <c r="B6" s="9" t="s">
        <v>1807</v>
      </c>
      <c r="C6" s="21" t="s">
        <v>115</v>
      </c>
      <c r="D6" s="9" t="s">
        <v>284</v>
      </c>
      <c r="E6" s="9" t="s">
        <v>333</v>
      </c>
      <c r="F6" s="21" t="s">
        <v>463</v>
      </c>
      <c r="G6" s="21" t="s">
        <v>464</v>
      </c>
      <c r="H6" s="9" t="s">
        <v>1808</v>
      </c>
      <c r="I6" s="9" t="s">
        <v>1809</v>
      </c>
      <c r="J6" s="9" t="s">
        <v>1810</v>
      </c>
      <c r="K6" s="9" t="s">
        <v>1811</v>
      </c>
      <c r="L6" s="9" t="s">
        <v>1812</v>
      </c>
      <c r="M6" s="9" t="s">
        <v>1813</v>
      </c>
      <c r="N6" s="21">
        <f>COUNTIF('10_API'!$G:$G,A6)</f>
        <v>2</v>
      </c>
      <c r="O6" s="42" t="str">
        <f>VLOOKUP(A6, '15_Chia task(UC)'!$D$7:$G$69, 3, FALSE)</f>
        <v>Lư Hữu Luân</v>
      </c>
      <c r="P6" s="43" t="str">
        <f>VLOOKUP(A6, '15_Chia task(UC)'!$D$7:$G$69, 4, FALSE)</f>
        <v>Sprint 1</v>
      </c>
      <c r="Q6" s="21">
        <f t="shared" si="1"/>
        <v>8</v>
      </c>
      <c r="R6" s="21" t="s">
        <v>467</v>
      </c>
      <c r="S6" s="44">
        <f>VLOOKUP(A6, '15_Chia task(UC)'!$D$7:$I$69, 5, FALSE)</f>
        <v>46305</v>
      </c>
      <c r="T6" s="44">
        <f>VLOOKUP(A6, '15_Chia task(UC)'!$D$7:$I$69, 6, FALSE)</f>
        <v>46307</v>
      </c>
    </row>
    <row r="7">
      <c r="A7" s="25" t="s">
        <v>476</v>
      </c>
      <c r="B7" s="9" t="s">
        <v>1814</v>
      </c>
      <c r="C7" s="21" t="s">
        <v>115</v>
      </c>
      <c r="D7" s="9" t="s">
        <v>284</v>
      </c>
      <c r="E7" s="9"/>
      <c r="F7" s="21" t="s">
        <v>463</v>
      </c>
      <c r="G7" s="21" t="s">
        <v>464</v>
      </c>
      <c r="H7" s="9" t="s">
        <v>1815</v>
      </c>
      <c r="I7" s="9" t="s">
        <v>1816</v>
      </c>
      <c r="J7" s="9" t="s">
        <v>1817</v>
      </c>
      <c r="K7" s="9" t="s">
        <v>1818</v>
      </c>
      <c r="L7" s="9" t="s">
        <v>1819</v>
      </c>
      <c r="M7" s="9" t="s">
        <v>1820</v>
      </c>
      <c r="N7" s="21">
        <f>COUNTIF('10_API'!$G:$G,A7)</f>
        <v>3</v>
      </c>
      <c r="O7" s="42" t="str">
        <f>VLOOKUP(A7, '15_Chia task(UC)'!$D$7:$G$69, 3, FALSE)</f>
        <v>Lư Hữu Luân</v>
      </c>
      <c r="P7" s="43" t="str">
        <f>VLOOKUP(A7, '15_Chia task(UC)'!$D$7:$G$69, 4, FALSE)</f>
        <v>Sprint 2</v>
      </c>
      <c r="Q7" s="21">
        <f t="shared" si="1"/>
        <v>8</v>
      </c>
      <c r="R7" s="21" t="s">
        <v>467</v>
      </c>
      <c r="S7" s="44">
        <f>VLOOKUP(A7, '15_Chia task(UC)'!$D$7:$I$69, 5, FALSE)</f>
        <v>46308</v>
      </c>
      <c r="T7" s="44">
        <f>VLOOKUP(A7, '15_Chia task(UC)'!$D$7:$I$69, 6, FALSE)</f>
        <v>46314</v>
      </c>
    </row>
    <row r="8">
      <c r="A8" s="25" t="s">
        <v>488</v>
      </c>
      <c r="B8" s="9" t="s">
        <v>1821</v>
      </c>
      <c r="C8" s="21" t="s">
        <v>115</v>
      </c>
      <c r="D8" s="9" t="s">
        <v>284</v>
      </c>
      <c r="E8" s="9"/>
      <c r="F8" s="21" t="s">
        <v>463</v>
      </c>
      <c r="G8" s="21" t="s">
        <v>464</v>
      </c>
      <c r="H8" s="9" t="s">
        <v>1822</v>
      </c>
      <c r="I8" s="9" t="s">
        <v>1823</v>
      </c>
      <c r="J8" s="9" t="s">
        <v>1824</v>
      </c>
      <c r="K8" s="9" t="s">
        <v>1825</v>
      </c>
      <c r="L8" s="9" t="s">
        <v>1826</v>
      </c>
      <c r="M8" s="9" t="s">
        <v>1827</v>
      </c>
      <c r="N8" s="21">
        <f>COUNTIF('10_API'!$G:$G,A8)</f>
        <v>3</v>
      </c>
      <c r="O8" s="42" t="str">
        <f>VLOOKUP(A8, '15_Chia task(UC)'!$D$7:$G$69, 3, FALSE)</f>
        <v>Lư Hữu Luân</v>
      </c>
      <c r="P8" s="43" t="str">
        <f>VLOOKUP(A8, '15_Chia task(UC)'!$D$7:$G$69, 4, FALSE)</f>
        <v>Sprint 2</v>
      </c>
      <c r="Q8" s="21">
        <f t="shared" si="1"/>
        <v>8</v>
      </c>
      <c r="R8" s="21" t="s">
        <v>467</v>
      </c>
      <c r="S8" s="44">
        <f>VLOOKUP(A8, '15_Chia task(UC)'!$D$7:$I$69, 5, FALSE)</f>
        <v>46308</v>
      </c>
      <c r="T8" s="44">
        <f>VLOOKUP(A8, '15_Chia task(UC)'!$D$7:$I$69, 6, FALSE)</f>
        <v>46314</v>
      </c>
    </row>
    <row r="9">
      <c r="A9" s="25" t="s">
        <v>493</v>
      </c>
      <c r="B9" s="9" t="s">
        <v>491</v>
      </c>
      <c r="C9" s="21" t="s">
        <v>115</v>
      </c>
      <c r="D9" s="9" t="s">
        <v>284</v>
      </c>
      <c r="E9" s="9" t="s">
        <v>333</v>
      </c>
      <c r="F9" s="21" t="s">
        <v>463</v>
      </c>
      <c r="G9" s="21" t="s">
        <v>464</v>
      </c>
      <c r="H9" s="9" t="s">
        <v>1828</v>
      </c>
      <c r="I9" s="9" t="s">
        <v>1829</v>
      </c>
      <c r="J9" s="9" t="s">
        <v>1830</v>
      </c>
      <c r="K9" s="9" t="s">
        <v>1831</v>
      </c>
      <c r="L9" s="9" t="s">
        <v>1832</v>
      </c>
      <c r="M9" s="9" t="s">
        <v>1833</v>
      </c>
      <c r="N9" s="21">
        <f>COUNTIF('10_API'!$G:$G,A9)</f>
        <v>2</v>
      </c>
      <c r="O9" s="42" t="str">
        <f>VLOOKUP(A9, '15_Chia task(UC)'!$D$7:$G$69, 3, FALSE)</f>
        <v>Lư Hữu Luân</v>
      </c>
      <c r="P9" s="43" t="str">
        <f>VLOOKUP(A9, '15_Chia task(UC)'!$D$7:$G$69, 4, FALSE)</f>
        <v>Sprint 5</v>
      </c>
      <c r="Q9" s="21">
        <f t="shared" si="1"/>
        <v>8</v>
      </c>
      <c r="R9" s="21" t="s">
        <v>467</v>
      </c>
      <c r="S9" s="44">
        <f>VLOOKUP(A9, '15_Chia task(UC)'!$D$7:$I$69, 5, FALSE)</f>
        <v>46329</v>
      </c>
      <c r="T9" s="44">
        <f>VLOOKUP(A9, '15_Chia task(UC)'!$D$7:$I$69, 6, FALSE)</f>
        <v>46339</v>
      </c>
    </row>
    <row r="10">
      <c r="A10" s="25" t="s">
        <v>498</v>
      </c>
      <c r="B10" s="9" t="s">
        <v>496</v>
      </c>
      <c r="C10" s="21" t="s">
        <v>115</v>
      </c>
      <c r="D10" s="9" t="s">
        <v>284</v>
      </c>
      <c r="E10" s="9"/>
      <c r="F10" s="21" t="s">
        <v>463</v>
      </c>
      <c r="G10" s="21" t="s">
        <v>464</v>
      </c>
      <c r="H10" s="9" t="s">
        <v>1822</v>
      </c>
      <c r="I10" s="9" t="s">
        <v>1834</v>
      </c>
      <c r="J10" s="9" t="s">
        <v>1835</v>
      </c>
      <c r="K10" s="9" t="s">
        <v>1836</v>
      </c>
      <c r="L10" s="9" t="s">
        <v>1837</v>
      </c>
      <c r="M10" s="9" t="s">
        <v>1827</v>
      </c>
      <c r="N10" s="21">
        <f>COUNTIF('10_API'!$G:$G,A10)</f>
        <v>1</v>
      </c>
      <c r="O10" s="42" t="str">
        <f>VLOOKUP(A10, '15_Chia task(UC)'!$D$7:$G$69, 3, FALSE)</f>
        <v>Lư Hữu Luân</v>
      </c>
      <c r="P10" s="43" t="str">
        <f>VLOOKUP(A10, '15_Chia task(UC)'!$D$7:$G$69, 4, FALSE)</f>
        <v>Sprint 3</v>
      </c>
      <c r="Q10" s="21">
        <f t="shared" si="1"/>
        <v>8</v>
      </c>
      <c r="R10" s="21" t="s">
        <v>467</v>
      </c>
      <c r="S10" s="44">
        <f>VLOOKUP(A10, '15_Chia task(UC)'!$D$7:$I$69, 5, FALSE)</f>
        <v>46315</v>
      </c>
      <c r="T10" s="44">
        <f>VLOOKUP(A10, '15_Chia task(UC)'!$D$7:$I$69, 6, FALSE)</f>
        <v>46321</v>
      </c>
    </row>
    <row r="11">
      <c r="A11" s="25" t="s">
        <v>360</v>
      </c>
      <c r="B11" s="9" t="s">
        <v>1838</v>
      </c>
      <c r="C11" s="21" t="s">
        <v>117</v>
      </c>
      <c r="D11" s="9" t="s">
        <v>284</v>
      </c>
      <c r="E11" s="9"/>
      <c r="F11" s="21" t="s">
        <v>463</v>
      </c>
      <c r="G11" s="21" t="s">
        <v>464</v>
      </c>
      <c r="H11" s="9" t="s">
        <v>1822</v>
      </c>
      <c r="I11" s="9" t="s">
        <v>1839</v>
      </c>
      <c r="J11" s="9" t="s">
        <v>1840</v>
      </c>
      <c r="K11" s="9" t="s">
        <v>1841</v>
      </c>
      <c r="L11" s="9" t="s">
        <v>1842</v>
      </c>
      <c r="M11" s="9" t="s">
        <v>1843</v>
      </c>
      <c r="N11" s="21">
        <f>COUNTIF('10_API'!$G:$G,A11)</f>
        <v>9</v>
      </c>
      <c r="O11" s="42" t="str">
        <f>VLOOKUP(A11, '15_Chia task(UC)'!$D$7:$G$69, 3, FALSE)</f>
        <v>Lư Hữu Luân</v>
      </c>
      <c r="P11" s="43" t="str">
        <f>VLOOKUP(A11, '15_Chia task(UC)'!$D$7:$G$69, 4, FALSE)</f>
        <v>Sprint 4</v>
      </c>
      <c r="Q11" s="21">
        <f t="shared" si="1"/>
        <v>8</v>
      </c>
      <c r="R11" s="21" t="s">
        <v>467</v>
      </c>
      <c r="S11" s="44">
        <f>VLOOKUP(A11, '15_Chia task(UC)'!$D$7:$I$69, 5, FALSE)</f>
        <v>46322</v>
      </c>
      <c r="T11" s="44">
        <f>VLOOKUP(A11, '15_Chia task(UC)'!$D$7:$I$69, 6, FALSE)</f>
        <v>46328</v>
      </c>
    </row>
    <row r="12">
      <c r="A12" s="25" t="s">
        <v>363</v>
      </c>
      <c r="B12" s="9" t="s">
        <v>1844</v>
      </c>
      <c r="C12" s="21" t="s">
        <v>117</v>
      </c>
      <c r="D12" s="9" t="s">
        <v>284</v>
      </c>
      <c r="E12" s="9"/>
      <c r="F12" s="21" t="s">
        <v>463</v>
      </c>
      <c r="G12" s="21" t="s">
        <v>464</v>
      </c>
      <c r="H12" s="9" t="s">
        <v>1845</v>
      </c>
      <c r="I12" s="9" t="s">
        <v>1846</v>
      </c>
      <c r="J12" s="9" t="s">
        <v>1847</v>
      </c>
      <c r="K12" s="9" t="s">
        <v>1848</v>
      </c>
      <c r="L12" s="9" t="s">
        <v>1849</v>
      </c>
      <c r="M12" s="9" t="s">
        <v>1850</v>
      </c>
      <c r="N12" s="21">
        <f>COUNTIF('10_API'!$G:$G,A12)</f>
        <v>2</v>
      </c>
      <c r="O12" s="42" t="str">
        <f>VLOOKUP(A12, '15_Chia task(UC)'!$D$7:$G$69, 3, FALSE)</f>
        <v>Lư Hữu Luân</v>
      </c>
      <c r="P12" s="43" t="str">
        <f>VLOOKUP(A12, '15_Chia task(UC)'!$D$7:$G$69, 4, FALSE)</f>
        <v>Sprint 4</v>
      </c>
      <c r="Q12" s="21">
        <f t="shared" si="1"/>
        <v>8</v>
      </c>
      <c r="R12" s="21" t="s">
        <v>467</v>
      </c>
      <c r="S12" s="44">
        <f>VLOOKUP(A12, '15_Chia task(UC)'!$D$7:$I$69, 5, FALSE)</f>
        <v>46322</v>
      </c>
      <c r="T12" s="44">
        <f>VLOOKUP(A12, '15_Chia task(UC)'!$D$7:$I$69, 6, FALSE)</f>
        <v>46328</v>
      </c>
    </row>
    <row r="13">
      <c r="A13" s="25" t="s">
        <v>365</v>
      </c>
      <c r="B13" s="9" t="s">
        <v>1851</v>
      </c>
      <c r="C13" s="21" t="s">
        <v>117</v>
      </c>
      <c r="D13" s="9" t="s">
        <v>348</v>
      </c>
      <c r="E13" s="9" t="s">
        <v>284</v>
      </c>
      <c r="F13" s="21" t="s">
        <v>463</v>
      </c>
      <c r="G13" s="21" t="s">
        <v>464</v>
      </c>
      <c r="H13" s="9" t="s">
        <v>1852</v>
      </c>
      <c r="I13" s="9" t="s">
        <v>1853</v>
      </c>
      <c r="J13" s="9" t="s">
        <v>1854</v>
      </c>
      <c r="K13" s="9" t="s">
        <v>1855</v>
      </c>
      <c r="L13" s="9" t="s">
        <v>1856</v>
      </c>
      <c r="M13" s="9" t="s">
        <v>1857</v>
      </c>
      <c r="N13" s="21">
        <f>COUNTIF('10_API'!$G:$G,A13)</f>
        <v>4</v>
      </c>
      <c r="O13" s="42" t="str">
        <f>VLOOKUP(A13, '15_Chia task(UC)'!$D$7:$G$69, 3, FALSE)</f>
        <v>Trần Công Thuận</v>
      </c>
      <c r="P13" s="43" t="str">
        <f>VLOOKUP(A13, '15_Chia task(UC)'!$D$7:$G$69, 4, FALSE)</f>
        <v>Sprint 1</v>
      </c>
      <c r="Q13" s="21">
        <f t="shared" si="1"/>
        <v>6</v>
      </c>
      <c r="R13" s="21" t="s">
        <v>467</v>
      </c>
      <c r="S13" s="44">
        <f>VLOOKUP(A13, '15_Chia task(UC)'!$D$7:$I$69, 5, FALSE)</f>
        <v>46305</v>
      </c>
      <c r="T13" s="44">
        <f>VLOOKUP(A13, '15_Chia task(UC)'!$D$7:$I$69, 6, FALSE)</f>
        <v>46307</v>
      </c>
    </row>
    <row r="14">
      <c r="A14" s="25" t="s">
        <v>367</v>
      </c>
      <c r="B14" s="9" t="s">
        <v>366</v>
      </c>
      <c r="C14" s="21" t="s">
        <v>117</v>
      </c>
      <c r="D14" s="9" t="s">
        <v>284</v>
      </c>
      <c r="E14" s="9"/>
      <c r="F14" s="21" t="s">
        <v>463</v>
      </c>
      <c r="G14" s="21" t="s">
        <v>464</v>
      </c>
      <c r="H14" s="9" t="s">
        <v>1858</v>
      </c>
      <c r="I14" s="9" t="s">
        <v>1859</v>
      </c>
      <c r="J14" s="9" t="s">
        <v>1860</v>
      </c>
      <c r="K14" s="9" t="s">
        <v>1861</v>
      </c>
      <c r="L14" s="9" t="s">
        <v>1862</v>
      </c>
      <c r="M14" s="9" t="s">
        <v>1863</v>
      </c>
      <c r="N14" s="21">
        <f>COUNTIF('10_API'!$G:$G,A14)</f>
        <v>1</v>
      </c>
      <c r="O14" s="45" t="str">
        <f>VLOOKUP(A14, '15_Chia task(UC)'!$D$7:$G$69, 3, FALSE)</f>
        <v>Lư Hữu Luân</v>
      </c>
      <c r="P14" s="43" t="str">
        <f>VLOOKUP(A14, '15_Chia task(UC)'!$D$7:$G$69, 4, FALSE)</f>
        <v>Sprint 3</v>
      </c>
      <c r="Q14" s="21">
        <f t="shared" si="1"/>
        <v>8</v>
      </c>
      <c r="R14" s="21" t="s">
        <v>467</v>
      </c>
      <c r="S14" s="44">
        <f>VLOOKUP(A14, '15_Chia task(UC)'!$D$7:$I$69, 5, FALSE)</f>
        <v>46315</v>
      </c>
      <c r="T14" s="44">
        <f>VLOOKUP(A14, '15_Chia task(UC)'!$D$7:$I$69, 6, FALSE)</f>
        <v>46321</v>
      </c>
    </row>
    <row r="15">
      <c r="A15" s="25" t="s">
        <v>354</v>
      </c>
      <c r="B15" s="9" t="s">
        <v>1864</v>
      </c>
      <c r="C15" s="21" t="s">
        <v>119</v>
      </c>
      <c r="D15" s="9" t="s">
        <v>215</v>
      </c>
      <c r="E15" s="9" t="s">
        <v>1865</v>
      </c>
      <c r="F15" s="21" t="s">
        <v>463</v>
      </c>
      <c r="G15" s="21" t="s">
        <v>464</v>
      </c>
      <c r="H15" s="9" t="s">
        <v>1866</v>
      </c>
      <c r="I15" s="9" t="s">
        <v>1867</v>
      </c>
      <c r="J15" s="9" t="s">
        <v>1868</v>
      </c>
      <c r="K15" s="9" t="s">
        <v>1869</v>
      </c>
      <c r="L15" s="9" t="s">
        <v>1870</v>
      </c>
      <c r="M15" s="9" t="s">
        <v>1871</v>
      </c>
      <c r="N15" s="21">
        <f>COUNTIF('10_API'!$G:$G,A15)</f>
        <v>2</v>
      </c>
      <c r="O15" s="42" t="str">
        <f>VLOOKUP(A15, '15_Chia task(UC)'!$D$7:$G$69, 3, FALSE)</f>
        <v>Nguyễn Thành Huy</v>
      </c>
      <c r="P15" s="43" t="str">
        <f>VLOOKUP(A15, '15_Chia task(UC)'!$D$7:$G$69, 4, FALSE)</f>
        <v>Sprint 1</v>
      </c>
      <c r="Q15" s="21">
        <f t="shared" si="1"/>
        <v>8</v>
      </c>
      <c r="R15" s="21" t="s">
        <v>467</v>
      </c>
      <c r="S15" s="44">
        <f>VLOOKUP(A15, '15_Chia task(UC)'!$D$7:$I$69, 5, FALSE)</f>
        <v>46305</v>
      </c>
      <c r="T15" s="44">
        <f>VLOOKUP(A15, '15_Chia task(UC)'!$D$7:$I$69, 6, FALSE)</f>
        <v>46307</v>
      </c>
    </row>
    <row r="16">
      <c r="A16" s="25" t="s">
        <v>536</v>
      </c>
      <c r="B16" s="9" t="s">
        <v>1872</v>
      </c>
      <c r="C16" s="21" t="s">
        <v>119</v>
      </c>
      <c r="D16" s="9" t="s">
        <v>215</v>
      </c>
      <c r="E16" s="9" t="s">
        <v>1865</v>
      </c>
      <c r="F16" s="21" t="s">
        <v>463</v>
      </c>
      <c r="G16" s="21" t="s">
        <v>464</v>
      </c>
      <c r="H16" s="9" t="s">
        <v>1873</v>
      </c>
      <c r="I16" s="9" t="s">
        <v>1874</v>
      </c>
      <c r="J16" s="9" t="s">
        <v>1875</v>
      </c>
      <c r="K16" s="9" t="s">
        <v>1876</v>
      </c>
      <c r="L16" s="9" t="s">
        <v>1877</v>
      </c>
      <c r="M16" s="9" t="s">
        <v>1878</v>
      </c>
      <c r="N16" s="21">
        <f>COUNTIF('10_API'!$G:$G,A16)</f>
        <v>6</v>
      </c>
      <c r="O16" s="42" t="str">
        <f>VLOOKUP(A16, '15_Chia task(UC)'!$D$7:$G$69, 3, FALSE)</f>
        <v>Nguyễn Thành Huy</v>
      </c>
      <c r="P16" s="43" t="str">
        <f>VLOOKUP(A16, '15_Chia task(UC)'!$D$7:$G$69, 4, FALSE)</f>
        <v>Sprint 1</v>
      </c>
      <c r="Q16" s="21">
        <f t="shared" si="1"/>
        <v>8</v>
      </c>
      <c r="R16" s="21" t="s">
        <v>467</v>
      </c>
      <c r="S16" s="44">
        <f>VLOOKUP(A16, '15_Chia task(UC)'!$D$7:$I$69, 5, FALSE)</f>
        <v>46305</v>
      </c>
      <c r="T16" s="44">
        <f>VLOOKUP(A16, '15_Chia task(UC)'!$D$7:$I$69, 6, FALSE)</f>
        <v>46307</v>
      </c>
    </row>
    <row r="17">
      <c r="A17" s="25" t="s">
        <v>373</v>
      </c>
      <c r="B17" s="9" t="s">
        <v>1879</v>
      </c>
      <c r="C17" s="21" t="s">
        <v>119</v>
      </c>
      <c r="D17" s="9" t="s">
        <v>284</v>
      </c>
      <c r="E17" s="9"/>
      <c r="F17" s="21" t="s">
        <v>463</v>
      </c>
      <c r="G17" s="21" t="s">
        <v>464</v>
      </c>
      <c r="H17" s="9" t="s">
        <v>1822</v>
      </c>
      <c r="I17" s="9" t="s">
        <v>1880</v>
      </c>
      <c r="J17" s="9" t="s">
        <v>1881</v>
      </c>
      <c r="K17" s="9" t="s">
        <v>1882</v>
      </c>
      <c r="L17" s="9" t="s">
        <v>1883</v>
      </c>
      <c r="M17" s="9" t="s">
        <v>1884</v>
      </c>
      <c r="N17" s="21">
        <f>COUNTIF('10_API'!$G:$G,A17)</f>
        <v>3</v>
      </c>
      <c r="O17" s="42" t="str">
        <f>VLOOKUP(A17, '15_Chia task(UC)'!$D$7:$G$69, 3, FALSE)</f>
        <v>Nguyễn Thành Huy</v>
      </c>
      <c r="P17" s="43" t="str">
        <f>VLOOKUP(A17, '15_Chia task(UC)'!$D$7:$G$69, 4, FALSE)</f>
        <v>Sprint 2</v>
      </c>
      <c r="Q17" s="21">
        <f t="shared" si="1"/>
        <v>8</v>
      </c>
      <c r="R17" s="21" t="s">
        <v>467</v>
      </c>
      <c r="S17" s="44">
        <f>VLOOKUP(A17, '15_Chia task(UC)'!$D$7:$I$69, 5, FALSE)</f>
        <v>46308</v>
      </c>
      <c r="T17" s="44">
        <f>VLOOKUP(A17, '15_Chia task(UC)'!$D$7:$I$69, 6, FALSE)</f>
        <v>46314</v>
      </c>
    </row>
    <row r="18">
      <c r="A18" s="25" t="s">
        <v>571</v>
      </c>
      <c r="B18" s="9" t="s">
        <v>569</v>
      </c>
      <c r="C18" s="21" t="s">
        <v>119</v>
      </c>
      <c r="D18" s="9" t="s">
        <v>215</v>
      </c>
      <c r="E18" s="9"/>
      <c r="F18" s="21" t="s">
        <v>463</v>
      </c>
      <c r="G18" s="21" t="s">
        <v>464</v>
      </c>
      <c r="H18" s="9" t="s">
        <v>1885</v>
      </c>
      <c r="I18" s="9" t="s">
        <v>1886</v>
      </c>
      <c r="J18" s="9" t="s">
        <v>1887</v>
      </c>
      <c r="K18" s="9" t="s">
        <v>1888</v>
      </c>
      <c r="L18" s="9" t="s">
        <v>1889</v>
      </c>
      <c r="M18" s="9" t="s">
        <v>1890</v>
      </c>
      <c r="N18" s="21">
        <f>COUNTIF('10_API'!$G:$G,A18)</f>
        <v>1</v>
      </c>
      <c r="O18" s="42" t="str">
        <f>VLOOKUP(A18, '15_Chia task(UC)'!$D$7:$G$69, 3, FALSE)</f>
        <v>Nguyễn Thành Huy</v>
      </c>
      <c r="P18" s="43" t="str">
        <f>VLOOKUP(A18, '15_Chia task(UC)'!$D$7:$G$69, 4, FALSE)</f>
        <v>Sprint 2</v>
      </c>
      <c r="Q18" s="21">
        <f t="shared" si="1"/>
        <v>8</v>
      </c>
      <c r="R18" s="21" t="s">
        <v>467</v>
      </c>
      <c r="S18" s="44">
        <f>VLOOKUP(A18, '15_Chia task(UC)'!$D$7:$I$69, 5, FALSE)</f>
        <v>46308</v>
      </c>
      <c r="T18" s="44">
        <f>VLOOKUP(A18, '15_Chia task(UC)'!$D$7:$I$69, 6, FALSE)</f>
        <v>46314</v>
      </c>
    </row>
    <row r="19">
      <c r="A19" s="25" t="s">
        <v>371</v>
      </c>
      <c r="B19" s="9" t="s">
        <v>370</v>
      </c>
      <c r="C19" s="21" t="s">
        <v>119</v>
      </c>
      <c r="D19" s="9" t="s">
        <v>215</v>
      </c>
      <c r="E19" s="9" t="s">
        <v>251</v>
      </c>
      <c r="F19" s="21" t="s">
        <v>463</v>
      </c>
      <c r="G19" s="21" t="s">
        <v>464</v>
      </c>
      <c r="H19" s="9" t="s">
        <v>1891</v>
      </c>
      <c r="I19" s="9" t="s">
        <v>1892</v>
      </c>
      <c r="J19" s="9" t="s">
        <v>1893</v>
      </c>
      <c r="K19" s="9" t="s">
        <v>1894</v>
      </c>
      <c r="L19" s="9" t="s">
        <v>1895</v>
      </c>
      <c r="M19" s="9"/>
      <c r="N19" s="21">
        <f>COUNTIF('10_API'!$G:$G,A19)</f>
        <v>1</v>
      </c>
      <c r="O19" s="42" t="str">
        <f>VLOOKUP(A19, '15_Chia task(UC)'!$D$7:$G$69, 3, FALSE)</f>
        <v>Nguyễn Thành Huy</v>
      </c>
      <c r="P19" s="43" t="str">
        <f>VLOOKUP(A19, '15_Chia task(UC)'!$D$7:$G$69, 4, FALSE)</f>
        <v>Sprint 5</v>
      </c>
      <c r="Q19" s="21">
        <f t="shared" si="1"/>
        <v>8</v>
      </c>
      <c r="R19" s="21" t="s">
        <v>467</v>
      </c>
      <c r="S19" s="44">
        <f>VLOOKUP(A19, '15_Chia task(UC)'!$D$7:$I$69, 5, FALSE)</f>
        <v>46329</v>
      </c>
      <c r="T19" s="44">
        <f>VLOOKUP(A19, '15_Chia task(UC)'!$D$7:$I$69, 6, FALSE)</f>
        <v>46339</v>
      </c>
    </row>
    <row r="20">
      <c r="A20" s="25" t="s">
        <v>375</v>
      </c>
      <c r="B20" s="9" t="s">
        <v>1896</v>
      </c>
      <c r="C20" s="21" t="s">
        <v>121</v>
      </c>
      <c r="D20" s="9" t="s">
        <v>251</v>
      </c>
      <c r="E20" s="9"/>
      <c r="F20" s="21" t="s">
        <v>463</v>
      </c>
      <c r="G20" s="21" t="s">
        <v>464</v>
      </c>
      <c r="H20" s="9" t="s">
        <v>1897</v>
      </c>
      <c r="I20" s="9" t="s">
        <v>1898</v>
      </c>
      <c r="J20" s="9" t="s">
        <v>1899</v>
      </c>
      <c r="K20" s="9" t="s">
        <v>1900</v>
      </c>
      <c r="L20" s="9" t="s">
        <v>1901</v>
      </c>
      <c r="M20" s="9" t="s">
        <v>1902</v>
      </c>
      <c r="N20" s="21">
        <f>COUNTIF('10_API'!$G:$G,A20)</f>
        <v>4</v>
      </c>
      <c r="O20" s="42" t="str">
        <f>VLOOKUP(A20, '15_Chia task(UC)'!$D$7:$G$69, 3, FALSE)</f>
        <v>Võ Quốc An</v>
      </c>
      <c r="P20" s="43" t="str">
        <f>VLOOKUP(A20, '15_Chia task(UC)'!$D$7:$G$69, 4, FALSE)</f>
        <v>Sprint 1</v>
      </c>
      <c r="Q20" s="21">
        <f t="shared" si="1"/>
        <v>8</v>
      </c>
      <c r="R20" s="21" t="s">
        <v>467</v>
      </c>
      <c r="S20" s="44">
        <f>VLOOKUP(A20, '15_Chia task(UC)'!$D$7:$I$69, 5, FALSE)</f>
        <v>46305</v>
      </c>
      <c r="T20" s="44">
        <f>VLOOKUP(A20, '15_Chia task(UC)'!$D$7:$I$69, 6, FALSE)</f>
        <v>46307</v>
      </c>
    </row>
    <row r="21" ht="15.75" customHeight="1">
      <c r="A21" s="25" t="s">
        <v>595</v>
      </c>
      <c r="B21" s="9" t="s">
        <v>1903</v>
      </c>
      <c r="C21" s="21" t="s">
        <v>121</v>
      </c>
      <c r="D21" s="9" t="s">
        <v>251</v>
      </c>
      <c r="E21" s="9" t="s">
        <v>215</v>
      </c>
      <c r="F21" s="21" t="s">
        <v>463</v>
      </c>
      <c r="G21" s="21" t="s">
        <v>464</v>
      </c>
      <c r="H21" s="9" t="s">
        <v>1904</v>
      </c>
      <c r="I21" s="9" t="s">
        <v>1905</v>
      </c>
      <c r="J21" s="9" t="s">
        <v>1906</v>
      </c>
      <c r="K21" s="9" t="s">
        <v>1907</v>
      </c>
      <c r="L21" s="9" t="s">
        <v>1908</v>
      </c>
      <c r="M21" s="9" t="s">
        <v>1909</v>
      </c>
      <c r="N21" s="21">
        <f>COUNTIF('10_API'!$G:$G,A21)</f>
        <v>1</v>
      </c>
      <c r="O21" s="42" t="str">
        <f>VLOOKUP(A21, '15_Chia task(UC)'!$D$7:$G$69, 3, FALSE)</f>
        <v>Võ Quốc An</v>
      </c>
      <c r="P21" s="43" t="str">
        <f>VLOOKUP(A21, '15_Chia task(UC)'!$D$7:$G$69, 4, FALSE)</f>
        <v>Sprint 1</v>
      </c>
      <c r="Q21" s="21">
        <f t="shared" si="1"/>
        <v>8</v>
      </c>
      <c r="R21" s="21" t="s">
        <v>467</v>
      </c>
      <c r="S21" s="44">
        <f>VLOOKUP(A21, '15_Chia task(UC)'!$D$7:$I$69, 5, FALSE)</f>
        <v>46305</v>
      </c>
      <c r="T21" s="44">
        <f>VLOOKUP(A21, '15_Chia task(UC)'!$D$7:$I$69, 6, FALSE)</f>
        <v>46307</v>
      </c>
    </row>
    <row r="22" ht="15.75" customHeight="1">
      <c r="A22" s="25" t="s">
        <v>600</v>
      </c>
      <c r="B22" s="9" t="s">
        <v>598</v>
      </c>
      <c r="C22" s="21" t="s">
        <v>121</v>
      </c>
      <c r="D22" s="9" t="s">
        <v>251</v>
      </c>
      <c r="E22" s="9" t="s">
        <v>215</v>
      </c>
      <c r="F22" s="21" t="s">
        <v>463</v>
      </c>
      <c r="G22" s="21" t="s">
        <v>464</v>
      </c>
      <c r="H22" s="9" t="s">
        <v>1910</v>
      </c>
      <c r="I22" s="9" t="s">
        <v>1911</v>
      </c>
      <c r="J22" s="9" t="s">
        <v>1912</v>
      </c>
      <c r="K22" s="9" t="s">
        <v>1913</v>
      </c>
      <c r="L22" s="9" t="s">
        <v>1914</v>
      </c>
      <c r="M22" s="9" t="s">
        <v>1909</v>
      </c>
      <c r="N22" s="21">
        <f>COUNTIF('10_API'!$G:$G,A22)</f>
        <v>3</v>
      </c>
      <c r="O22" s="42" t="str">
        <f>VLOOKUP(A22, '15_Chia task(UC)'!$D$7:$G$69, 3, FALSE)</f>
        <v>Võ Quốc An</v>
      </c>
      <c r="P22" s="43" t="str">
        <f>VLOOKUP(A22, '15_Chia task(UC)'!$D$7:$G$69, 4, FALSE)</f>
        <v>Sprint 2</v>
      </c>
      <c r="Q22" s="21">
        <f t="shared" si="1"/>
        <v>8</v>
      </c>
      <c r="R22" s="21" t="s">
        <v>467</v>
      </c>
      <c r="S22" s="44">
        <f>VLOOKUP(A22, '15_Chia task(UC)'!$D$7:$I$69, 5, FALSE)</f>
        <v>46308</v>
      </c>
      <c r="T22" s="44">
        <f>VLOOKUP(A22, '15_Chia task(UC)'!$D$7:$I$69, 6, FALSE)</f>
        <v>46314</v>
      </c>
    </row>
    <row r="23" ht="15.75" customHeight="1">
      <c r="A23" s="25" t="s">
        <v>610</v>
      </c>
      <c r="B23" s="9" t="s">
        <v>1915</v>
      </c>
      <c r="C23" s="21" t="s">
        <v>121</v>
      </c>
      <c r="D23" s="9" t="s">
        <v>215</v>
      </c>
      <c r="E23" s="9" t="s">
        <v>251</v>
      </c>
      <c r="F23" s="21" t="s">
        <v>463</v>
      </c>
      <c r="G23" s="21" t="s">
        <v>464</v>
      </c>
      <c r="H23" s="9" t="s">
        <v>1916</v>
      </c>
      <c r="I23" s="9" t="s">
        <v>1917</v>
      </c>
      <c r="J23" s="9" t="s">
        <v>1918</v>
      </c>
      <c r="K23" s="9" t="s">
        <v>1919</v>
      </c>
      <c r="L23" s="9" t="s">
        <v>1920</v>
      </c>
      <c r="M23" s="9" t="s">
        <v>1921</v>
      </c>
      <c r="N23" s="21">
        <f>COUNTIF('10_API'!$G:$G,A23)</f>
        <v>4</v>
      </c>
      <c r="O23" s="42" t="str">
        <f>VLOOKUP(A23, '15_Chia task(UC)'!$D$7:$G$69, 3, FALSE)</f>
        <v>Võ Quốc An</v>
      </c>
      <c r="P23" s="43" t="str">
        <f>VLOOKUP(A23, '15_Chia task(UC)'!$D$7:$G$69, 4, FALSE)</f>
        <v>Sprint 2</v>
      </c>
      <c r="Q23" s="21">
        <f t="shared" si="1"/>
        <v>8</v>
      </c>
      <c r="R23" s="21" t="s">
        <v>467</v>
      </c>
      <c r="S23" s="44">
        <f>VLOOKUP(A23, '15_Chia task(UC)'!$D$7:$I$69, 5, FALSE)</f>
        <v>46308</v>
      </c>
      <c r="T23" s="44">
        <f>VLOOKUP(A23, '15_Chia task(UC)'!$D$7:$I$69, 6, FALSE)</f>
        <v>46314</v>
      </c>
    </row>
    <row r="24" ht="15.75" customHeight="1">
      <c r="A24" s="25" t="s">
        <v>615</v>
      </c>
      <c r="B24" s="9" t="s">
        <v>1922</v>
      </c>
      <c r="C24" s="21" t="s">
        <v>121</v>
      </c>
      <c r="D24" s="9" t="s">
        <v>215</v>
      </c>
      <c r="E24" s="9" t="s">
        <v>251</v>
      </c>
      <c r="F24" s="21" t="s">
        <v>482</v>
      </c>
      <c r="G24" s="21" t="s">
        <v>483</v>
      </c>
      <c r="H24" s="9" t="s">
        <v>1923</v>
      </c>
      <c r="I24" s="9" t="s">
        <v>1924</v>
      </c>
      <c r="J24" s="9" t="s">
        <v>1925</v>
      </c>
      <c r="K24" s="9" t="s">
        <v>1926</v>
      </c>
      <c r="L24" s="9" t="s">
        <v>1927</v>
      </c>
      <c r="M24" s="9"/>
      <c r="N24" s="21">
        <f>COUNTIF('10_API'!$G:$G,A24)</f>
        <v>2</v>
      </c>
      <c r="O24" s="45" t="str">
        <f>VLOOKUP(A24, '15_Chia task(UC)'!$D$7:$G$69, 3, FALSE)</f>
        <v>Võ Quốc An</v>
      </c>
      <c r="P24" s="43" t="str">
        <f>VLOOKUP(A24, '15_Chia task(UC)'!$D$7:$G$69, 4, FALSE)</f>
        <v>Sprint 4</v>
      </c>
      <c r="Q24" s="21">
        <f t="shared" si="1"/>
        <v>8</v>
      </c>
      <c r="R24" s="21" t="s">
        <v>467</v>
      </c>
      <c r="S24" s="44">
        <f>VLOOKUP(A24, '15_Chia task(UC)'!$D$7:$I$69, 5, FALSE)</f>
        <v>46322</v>
      </c>
      <c r="T24" s="44">
        <f>VLOOKUP(A24, '15_Chia task(UC)'!$D$7:$I$69, 6, FALSE)</f>
        <v>46328</v>
      </c>
    </row>
    <row r="25" ht="15.75" customHeight="1">
      <c r="A25" s="25" t="s">
        <v>381</v>
      </c>
      <c r="B25" s="9" t="s">
        <v>380</v>
      </c>
      <c r="C25" s="21" t="s">
        <v>121</v>
      </c>
      <c r="D25" s="9" t="s">
        <v>317</v>
      </c>
      <c r="E25" s="9" t="s">
        <v>1928</v>
      </c>
      <c r="F25" s="21" t="s">
        <v>556</v>
      </c>
      <c r="G25" s="21" t="s">
        <v>557</v>
      </c>
      <c r="H25" s="9" t="s">
        <v>1929</v>
      </c>
      <c r="I25" s="9" t="s">
        <v>1930</v>
      </c>
      <c r="J25" s="9" t="s">
        <v>1931</v>
      </c>
      <c r="K25" s="9" t="s">
        <v>1932</v>
      </c>
      <c r="L25" s="9" t="s">
        <v>1933</v>
      </c>
      <c r="M25" s="9" t="s">
        <v>1934</v>
      </c>
      <c r="N25" s="21">
        <f>COUNTIF('10_API'!$G:$G,A25)</f>
        <v>2</v>
      </c>
      <c r="O25" s="45" t="str">
        <f>VLOOKUP(A25, '15_Chia task(UC)'!$D$7:$G$69, 3, FALSE)</f>
        <v>Võ Quốc An</v>
      </c>
      <c r="P25" s="43" t="str">
        <f>VLOOKUP(A25, '15_Chia task(UC)'!$D$7:$G$69, 4, FALSE)</f>
        <v>Sprint 4</v>
      </c>
      <c r="Q25" s="21">
        <f t="shared" si="1"/>
        <v>8</v>
      </c>
      <c r="R25" s="21" t="s">
        <v>467</v>
      </c>
      <c r="S25" s="44">
        <f>VLOOKUP(A25, '15_Chia task(UC)'!$D$7:$I$69, 5, FALSE)</f>
        <v>46322</v>
      </c>
      <c r="T25" s="44">
        <f>VLOOKUP(A25, '15_Chia task(UC)'!$D$7:$I$69, 6, FALSE)</f>
        <v>46328</v>
      </c>
    </row>
    <row r="26" ht="15.75" customHeight="1">
      <c r="A26" s="25" t="s">
        <v>628</v>
      </c>
      <c r="B26" s="9" t="s">
        <v>626</v>
      </c>
      <c r="C26" s="21" t="s">
        <v>123</v>
      </c>
      <c r="D26" s="9" t="s">
        <v>251</v>
      </c>
      <c r="E26" s="9" t="s">
        <v>1865</v>
      </c>
      <c r="F26" s="21" t="s">
        <v>556</v>
      </c>
      <c r="G26" s="21" t="s">
        <v>557</v>
      </c>
      <c r="H26" s="9" t="s">
        <v>1897</v>
      </c>
      <c r="I26" s="9" t="s">
        <v>1935</v>
      </c>
      <c r="J26" s="9" t="s">
        <v>1936</v>
      </c>
      <c r="K26" s="9" t="s">
        <v>1937</v>
      </c>
      <c r="L26" s="9" t="s">
        <v>1938</v>
      </c>
      <c r="M26" s="9" t="s">
        <v>1939</v>
      </c>
      <c r="N26" s="21">
        <f>COUNTIF('10_API'!$G:$G,A26)</f>
        <v>2</v>
      </c>
      <c r="O26" s="45" t="str">
        <f>VLOOKUP(A26, '15_Chia task(UC)'!$D$7:$G$69, 3, FALSE)</f>
        <v>Võ Quốc An</v>
      </c>
      <c r="P26" s="43" t="str">
        <f>VLOOKUP(A26, '15_Chia task(UC)'!$D$7:$G$69, 4, FALSE)</f>
        <v>Sprint 3</v>
      </c>
      <c r="Q26" s="21">
        <f t="shared" si="1"/>
        <v>8</v>
      </c>
      <c r="R26" s="21" t="s">
        <v>467</v>
      </c>
      <c r="S26" s="44">
        <f>VLOOKUP(A26, '15_Chia task(UC)'!$D$7:$I$69, 5, FALSE)</f>
        <v>46315</v>
      </c>
      <c r="T26" s="44">
        <f>VLOOKUP(A26, '15_Chia task(UC)'!$D$7:$I$69, 6, FALSE)</f>
        <v>46321</v>
      </c>
    </row>
    <row r="27" ht="15.75" customHeight="1">
      <c r="A27" s="25" t="s">
        <v>642</v>
      </c>
      <c r="B27" s="9" t="s">
        <v>640</v>
      </c>
      <c r="C27" s="21" t="s">
        <v>123</v>
      </c>
      <c r="D27" s="9" t="s">
        <v>251</v>
      </c>
      <c r="E27" s="9"/>
      <c r="F27" s="21" t="s">
        <v>556</v>
      </c>
      <c r="G27" s="21" t="s">
        <v>557</v>
      </c>
      <c r="H27" s="9" t="s">
        <v>1940</v>
      </c>
      <c r="I27" s="9" t="s">
        <v>1941</v>
      </c>
      <c r="J27" s="9" t="s">
        <v>1942</v>
      </c>
      <c r="K27" s="9" t="s">
        <v>1943</v>
      </c>
      <c r="L27" s="9" t="s">
        <v>1944</v>
      </c>
      <c r="M27" s="9" t="s">
        <v>1934</v>
      </c>
      <c r="N27" s="21">
        <f>COUNTIF('10_API'!$G:$G,A27)</f>
        <v>5</v>
      </c>
      <c r="O27" s="45" t="str">
        <f>VLOOKUP(A27, '15_Chia task(UC)'!$D$7:$G$69, 3, FALSE)</f>
        <v>Võ Quốc An</v>
      </c>
      <c r="P27" s="43" t="str">
        <f>VLOOKUP(A27, '15_Chia task(UC)'!$D$7:$G$69, 4, FALSE)</f>
        <v>Sprint 3</v>
      </c>
      <c r="Q27" s="21">
        <f t="shared" si="1"/>
        <v>8</v>
      </c>
      <c r="R27" s="21" t="s">
        <v>467</v>
      </c>
      <c r="S27" s="44">
        <f>VLOOKUP(A27, '15_Chia task(UC)'!$D$7:$I$69, 5, FALSE)</f>
        <v>46315</v>
      </c>
      <c r="T27" s="44">
        <f>VLOOKUP(A27, '15_Chia task(UC)'!$D$7:$I$69, 6, FALSE)</f>
        <v>46321</v>
      </c>
    </row>
    <row r="28" ht="15.75" customHeight="1">
      <c r="A28" s="25" t="s">
        <v>385</v>
      </c>
      <c r="B28" s="9" t="s">
        <v>384</v>
      </c>
      <c r="C28" s="21" t="s">
        <v>125</v>
      </c>
      <c r="D28" s="9" t="s">
        <v>284</v>
      </c>
      <c r="E28" s="9"/>
      <c r="F28" s="21" t="s">
        <v>463</v>
      </c>
      <c r="G28" s="21" t="s">
        <v>464</v>
      </c>
      <c r="H28" s="9" t="s">
        <v>1945</v>
      </c>
      <c r="I28" s="9" t="s">
        <v>1946</v>
      </c>
      <c r="J28" s="9" t="s">
        <v>1947</v>
      </c>
      <c r="K28" s="9" t="s">
        <v>1948</v>
      </c>
      <c r="L28" s="9" t="s">
        <v>1949</v>
      </c>
      <c r="M28" s="9" t="s">
        <v>1950</v>
      </c>
      <c r="N28" s="21">
        <f>COUNTIF('10_API'!$G:$G,A28)</f>
        <v>4</v>
      </c>
      <c r="O28" s="45" t="str">
        <f>VLOOKUP(A28, '15_Chia task(UC)'!$D$7:$G$69, 3, FALSE)</f>
        <v>Huỳnh Phi Long</v>
      </c>
      <c r="P28" s="43" t="str">
        <f>VLOOKUP(A28, '15_Chia task(UC)'!$D$7:$G$69, 4, FALSE)</f>
        <v>Sprint 1</v>
      </c>
      <c r="Q28" s="21">
        <f t="shared" si="1"/>
        <v>8</v>
      </c>
      <c r="R28" s="21" t="s">
        <v>467</v>
      </c>
      <c r="S28" s="44">
        <f>VLOOKUP(A28, '15_Chia task(UC)'!$D$7:$I$69, 5, FALSE)</f>
        <v>46305</v>
      </c>
      <c r="T28" s="44">
        <f>VLOOKUP(A28, '15_Chia task(UC)'!$D$7:$I$69, 6, FALSE)</f>
        <v>46307</v>
      </c>
    </row>
    <row r="29" ht="15.75" customHeight="1">
      <c r="A29" s="25" t="s">
        <v>673</v>
      </c>
      <c r="B29" s="9" t="s">
        <v>1951</v>
      </c>
      <c r="C29" s="21" t="s">
        <v>127</v>
      </c>
      <c r="D29" s="9" t="s">
        <v>251</v>
      </c>
      <c r="E29" s="9" t="s">
        <v>215</v>
      </c>
      <c r="F29" s="21" t="s">
        <v>463</v>
      </c>
      <c r="G29" s="21" t="s">
        <v>464</v>
      </c>
      <c r="H29" s="9" t="s">
        <v>1952</v>
      </c>
      <c r="I29" s="9" t="s">
        <v>1953</v>
      </c>
      <c r="J29" s="9" t="s">
        <v>1954</v>
      </c>
      <c r="K29" s="9" t="s">
        <v>1955</v>
      </c>
      <c r="L29" s="9" t="s">
        <v>1956</v>
      </c>
      <c r="M29" s="9" t="s">
        <v>1957</v>
      </c>
      <c r="N29" s="21">
        <f>COUNTIF('10_API'!$G:$G,A29)</f>
        <v>2</v>
      </c>
      <c r="O29" s="45" t="str">
        <f>VLOOKUP(A29, '15_Chia task(UC)'!$D$7:$G$69, 3, FALSE)</f>
        <v>Huỳnh Phi Long</v>
      </c>
      <c r="P29" s="43" t="str">
        <f>VLOOKUP(A29, '15_Chia task(UC)'!$D$7:$G$69, 4, FALSE)</f>
        <v>Sprint 3</v>
      </c>
      <c r="Q29" s="21">
        <f t="shared" si="1"/>
        <v>8</v>
      </c>
      <c r="R29" s="21" t="s">
        <v>467</v>
      </c>
      <c r="S29" s="44">
        <f>VLOOKUP(A29, '15_Chia task(UC)'!$D$7:$I$69, 5, FALSE)</f>
        <v>46315</v>
      </c>
      <c r="T29" s="44">
        <f>VLOOKUP(A29, '15_Chia task(UC)'!$D$7:$I$69, 6, FALSE)</f>
        <v>46321</v>
      </c>
    </row>
    <row r="30" ht="15.75" customHeight="1">
      <c r="A30" s="25" t="s">
        <v>682</v>
      </c>
      <c r="B30" s="9" t="s">
        <v>1958</v>
      </c>
      <c r="C30" s="21" t="s">
        <v>127</v>
      </c>
      <c r="D30" s="9" t="s">
        <v>251</v>
      </c>
      <c r="E30" s="9"/>
      <c r="F30" s="21" t="s">
        <v>463</v>
      </c>
      <c r="G30" s="21" t="s">
        <v>464</v>
      </c>
      <c r="H30" s="9" t="s">
        <v>1959</v>
      </c>
      <c r="I30" s="9" t="s">
        <v>1960</v>
      </c>
      <c r="J30" s="9" t="s">
        <v>1961</v>
      </c>
      <c r="K30" s="9" t="s">
        <v>1962</v>
      </c>
      <c r="L30" s="9" t="s">
        <v>1963</v>
      </c>
      <c r="M30" s="9" t="s">
        <v>1964</v>
      </c>
      <c r="N30" s="21">
        <f>COUNTIF('10_API'!$G:$G,A30)</f>
        <v>2</v>
      </c>
      <c r="O30" s="45" t="str">
        <f>VLOOKUP(A30, '15_Chia task(UC)'!$D$7:$G$69, 3, FALSE)</f>
        <v>Huỳnh Phi Long</v>
      </c>
      <c r="P30" s="43" t="str">
        <f>VLOOKUP(A30, '15_Chia task(UC)'!$D$7:$G$69, 4, FALSE)</f>
        <v>Sprint 1</v>
      </c>
      <c r="Q30" s="21">
        <f t="shared" si="1"/>
        <v>8</v>
      </c>
      <c r="R30" s="21" t="s">
        <v>467</v>
      </c>
      <c r="S30" s="44">
        <f>VLOOKUP(A30, '15_Chia task(UC)'!$D$7:$I$69, 5, FALSE)</f>
        <v>46305</v>
      </c>
      <c r="T30" s="44">
        <f>VLOOKUP(A30, '15_Chia task(UC)'!$D$7:$I$69, 6, FALSE)</f>
        <v>46307</v>
      </c>
    </row>
    <row r="31" ht="15.75" customHeight="1">
      <c r="A31" s="25" t="s">
        <v>392</v>
      </c>
      <c r="B31" s="9" t="s">
        <v>391</v>
      </c>
      <c r="C31" s="21" t="s">
        <v>127</v>
      </c>
      <c r="D31" s="9" t="s">
        <v>215</v>
      </c>
      <c r="E31" s="9" t="s">
        <v>253</v>
      </c>
      <c r="F31" s="21" t="s">
        <v>463</v>
      </c>
      <c r="G31" s="21" t="s">
        <v>464</v>
      </c>
      <c r="H31" s="9" t="s">
        <v>1965</v>
      </c>
      <c r="I31" s="9" t="s">
        <v>1966</v>
      </c>
      <c r="J31" s="9" t="s">
        <v>1967</v>
      </c>
      <c r="K31" s="9" t="s">
        <v>1968</v>
      </c>
      <c r="L31" s="9" t="s">
        <v>1969</v>
      </c>
      <c r="M31" s="9" t="s">
        <v>1970</v>
      </c>
      <c r="N31" s="21">
        <f>COUNTIF('10_API'!$G:$G,A31)</f>
        <v>3</v>
      </c>
      <c r="O31" s="45" t="str">
        <f>VLOOKUP(A31, '15_Chia task(UC)'!$D$7:$G$69, 3, FALSE)</f>
        <v>Huỳnh Phi Long</v>
      </c>
      <c r="P31" s="43" t="str">
        <f>VLOOKUP(A31, '15_Chia task(UC)'!$D$7:$G$69, 4, FALSE)</f>
        <v>Sprint 2</v>
      </c>
      <c r="Q31" s="21">
        <f t="shared" si="1"/>
        <v>8</v>
      </c>
      <c r="R31" s="21" t="s">
        <v>467</v>
      </c>
      <c r="S31" s="44">
        <f>VLOOKUP(A31, '15_Chia task(UC)'!$D$7:$I$69, 5, FALSE)</f>
        <v>46308</v>
      </c>
      <c r="T31" s="44">
        <f>VLOOKUP(A31, '15_Chia task(UC)'!$D$7:$I$69, 6, FALSE)</f>
        <v>46314</v>
      </c>
    </row>
    <row r="32" ht="15.75" customHeight="1">
      <c r="A32" s="25" t="s">
        <v>699</v>
      </c>
      <c r="B32" s="9" t="s">
        <v>1971</v>
      </c>
      <c r="C32" s="21" t="s">
        <v>127</v>
      </c>
      <c r="D32" s="9" t="s">
        <v>251</v>
      </c>
      <c r="E32" s="9" t="s">
        <v>253</v>
      </c>
      <c r="F32" s="21" t="s">
        <v>463</v>
      </c>
      <c r="G32" s="21" t="s">
        <v>464</v>
      </c>
      <c r="H32" s="9" t="s">
        <v>1972</v>
      </c>
      <c r="I32" s="9" t="s">
        <v>1973</v>
      </c>
      <c r="J32" s="9" t="s">
        <v>1974</v>
      </c>
      <c r="K32" s="9" t="s">
        <v>1975</v>
      </c>
      <c r="L32" s="9" t="s">
        <v>1976</v>
      </c>
      <c r="M32" s="9" t="s">
        <v>1964</v>
      </c>
      <c r="N32" s="21">
        <f>COUNTIF('10_API'!$G:$G,A32)</f>
        <v>3</v>
      </c>
      <c r="O32" s="45" t="str">
        <f>VLOOKUP(A32, '15_Chia task(UC)'!$D$7:$G$69, 3, FALSE)</f>
        <v>Huỳnh Phi Long</v>
      </c>
      <c r="P32" s="43" t="str">
        <f>VLOOKUP(A32, '15_Chia task(UC)'!$D$7:$G$69, 4, FALSE)</f>
        <v>Sprint 2</v>
      </c>
      <c r="Q32" s="21">
        <f t="shared" si="1"/>
        <v>8</v>
      </c>
      <c r="R32" s="21" t="s">
        <v>467</v>
      </c>
      <c r="S32" s="44">
        <f>VLOOKUP(A32, '15_Chia task(UC)'!$D$7:$I$69, 5, FALSE)</f>
        <v>46308</v>
      </c>
      <c r="T32" s="44">
        <f>VLOOKUP(A32, '15_Chia task(UC)'!$D$7:$I$69, 6, FALSE)</f>
        <v>46314</v>
      </c>
    </row>
    <row r="33" ht="15.75" customHeight="1">
      <c r="A33" s="25" t="s">
        <v>708</v>
      </c>
      <c r="B33" s="9" t="s">
        <v>706</v>
      </c>
      <c r="C33" s="21" t="s">
        <v>127</v>
      </c>
      <c r="D33" s="9" t="s">
        <v>251</v>
      </c>
      <c r="E33" s="9" t="s">
        <v>1977</v>
      </c>
      <c r="F33" s="21" t="s">
        <v>463</v>
      </c>
      <c r="G33" s="21" t="s">
        <v>464</v>
      </c>
      <c r="H33" s="9" t="s">
        <v>1978</v>
      </c>
      <c r="I33" s="9" t="s">
        <v>1979</v>
      </c>
      <c r="J33" s="9" t="s">
        <v>1980</v>
      </c>
      <c r="K33" s="9" t="s">
        <v>1981</v>
      </c>
      <c r="L33" s="9" t="s">
        <v>1982</v>
      </c>
      <c r="M33" s="9" t="s">
        <v>1964</v>
      </c>
      <c r="N33" s="21">
        <f>COUNTIF('10_API'!$G:$G,A33)</f>
        <v>2</v>
      </c>
      <c r="O33" s="45" t="str">
        <f>VLOOKUP(A33, '15_Chia task(UC)'!$D$7:$G$69, 3, FALSE)</f>
        <v>Huỳnh Phi Long</v>
      </c>
      <c r="P33" s="43" t="str">
        <f>VLOOKUP(A33, '15_Chia task(UC)'!$D$7:$G$69, 4, FALSE)</f>
        <v>Sprint 3</v>
      </c>
      <c r="Q33" s="21">
        <f t="shared" si="1"/>
        <v>8</v>
      </c>
      <c r="R33" s="21" t="s">
        <v>467</v>
      </c>
      <c r="S33" s="44">
        <f>VLOOKUP(A33, '15_Chia task(UC)'!$D$7:$I$69, 5, FALSE)</f>
        <v>46315</v>
      </c>
      <c r="T33" s="44">
        <f>VLOOKUP(A33, '15_Chia task(UC)'!$D$7:$I$69, 6, FALSE)</f>
        <v>46321</v>
      </c>
    </row>
    <row r="34" ht="15.75" customHeight="1">
      <c r="A34" s="25" t="s">
        <v>713</v>
      </c>
      <c r="B34" s="9" t="s">
        <v>711</v>
      </c>
      <c r="C34" s="21" t="s">
        <v>127</v>
      </c>
      <c r="D34" s="9" t="s">
        <v>251</v>
      </c>
      <c r="E34" s="9" t="s">
        <v>215</v>
      </c>
      <c r="F34" s="21" t="s">
        <v>463</v>
      </c>
      <c r="G34" s="21" t="s">
        <v>464</v>
      </c>
      <c r="H34" s="9" t="s">
        <v>1983</v>
      </c>
      <c r="I34" s="9" t="s">
        <v>1984</v>
      </c>
      <c r="J34" s="9" t="s">
        <v>1985</v>
      </c>
      <c r="K34" s="9" t="s">
        <v>1986</v>
      </c>
      <c r="L34" s="9" t="s">
        <v>1987</v>
      </c>
      <c r="M34" s="9" t="s">
        <v>1957</v>
      </c>
      <c r="N34" s="21">
        <f>COUNTIF('10_API'!$G:$G,A34)</f>
        <v>2</v>
      </c>
      <c r="O34" s="45" t="str">
        <f>VLOOKUP(A34, '15_Chia task(UC)'!$D$7:$G$69, 3, FALSE)</f>
        <v>Huỳnh Phi Long</v>
      </c>
      <c r="P34" s="43" t="str">
        <f>VLOOKUP(A34, '15_Chia task(UC)'!$D$7:$G$69, 4, FALSE)</f>
        <v>Sprint 4</v>
      </c>
      <c r="Q34" s="21">
        <f t="shared" si="1"/>
        <v>8</v>
      </c>
      <c r="R34" s="21" t="s">
        <v>467</v>
      </c>
      <c r="S34" s="44">
        <f>VLOOKUP(A34, '15_Chia task(UC)'!$D$7:$I$69, 5, FALSE)</f>
        <v>46322</v>
      </c>
      <c r="T34" s="44">
        <f>VLOOKUP(A34, '15_Chia task(UC)'!$D$7:$I$69, 6, FALSE)</f>
        <v>46328</v>
      </c>
    </row>
    <row r="35" ht="15.75" customHeight="1">
      <c r="A35" s="25" t="s">
        <v>723</v>
      </c>
      <c r="B35" s="9" t="s">
        <v>1988</v>
      </c>
      <c r="C35" s="21" t="s">
        <v>129</v>
      </c>
      <c r="D35" s="9" t="s">
        <v>251</v>
      </c>
      <c r="E35" s="9"/>
      <c r="F35" s="21" t="s">
        <v>482</v>
      </c>
      <c r="G35" s="21" t="s">
        <v>483</v>
      </c>
      <c r="H35" s="9" t="s">
        <v>1989</v>
      </c>
      <c r="I35" s="9" t="s">
        <v>1990</v>
      </c>
      <c r="J35" s="9" t="s">
        <v>1991</v>
      </c>
      <c r="K35" s="9" t="s">
        <v>1992</v>
      </c>
      <c r="L35" s="9" t="s">
        <v>1993</v>
      </c>
      <c r="M35" s="9" t="s">
        <v>1994</v>
      </c>
      <c r="N35" s="21">
        <f>COUNTIF('10_API'!$G:$G,A35)</f>
        <v>2</v>
      </c>
      <c r="O35" s="45" t="str">
        <f>VLOOKUP(A35, '15_Chia task(UC)'!$D$7:$G$69, 3, FALSE)</f>
        <v>Võ Quốc An</v>
      </c>
      <c r="P35" s="43" t="str">
        <f>VLOOKUP(A35, '15_Chia task(UC)'!$D$7:$G$69, 4, FALSE)</f>
        <v>Sprint 5</v>
      </c>
      <c r="Q35" s="21">
        <f t="shared" si="1"/>
        <v>8</v>
      </c>
      <c r="R35" s="21" t="s">
        <v>467</v>
      </c>
      <c r="S35" s="44">
        <f>VLOOKUP(A35, '15_Chia task(UC)'!$D$7:$I$69, 5, FALSE)</f>
        <v>46329</v>
      </c>
      <c r="T35" s="44">
        <f>VLOOKUP(A35, '15_Chia task(UC)'!$D$7:$I$69, 6, FALSE)</f>
        <v>46339</v>
      </c>
    </row>
    <row r="36" ht="15.75" customHeight="1">
      <c r="A36" s="25" t="s">
        <v>732</v>
      </c>
      <c r="B36" s="9" t="s">
        <v>1995</v>
      </c>
      <c r="C36" s="21" t="s">
        <v>129</v>
      </c>
      <c r="D36" s="9" t="s">
        <v>215</v>
      </c>
      <c r="E36" s="9" t="s">
        <v>251</v>
      </c>
      <c r="F36" s="21" t="s">
        <v>482</v>
      </c>
      <c r="G36" s="21" t="s">
        <v>483</v>
      </c>
      <c r="H36" s="9" t="s">
        <v>1996</v>
      </c>
      <c r="I36" s="9" t="s">
        <v>1997</v>
      </c>
      <c r="J36" s="9" t="s">
        <v>1998</v>
      </c>
      <c r="K36" s="9" t="s">
        <v>1999</v>
      </c>
      <c r="L36" s="9" t="s">
        <v>2000</v>
      </c>
      <c r="M36" s="9"/>
      <c r="N36" s="21">
        <f>COUNTIF('10_API'!$G:$G,A36)</f>
        <v>1</v>
      </c>
      <c r="O36" s="45" t="str">
        <f>VLOOKUP(A36, '15_Chia task(UC)'!$D$7:$G$69, 3, FALSE)</f>
        <v>Nguyễn Thành Huy</v>
      </c>
      <c r="P36" s="43" t="str">
        <f>VLOOKUP(A36, '15_Chia task(UC)'!$D$7:$G$69, 4, FALSE)</f>
        <v>Sprint 4</v>
      </c>
      <c r="Q36" s="21">
        <f t="shared" si="1"/>
        <v>8</v>
      </c>
      <c r="R36" s="21" t="s">
        <v>467</v>
      </c>
      <c r="S36" s="44">
        <f>VLOOKUP(A36, '15_Chia task(UC)'!$D$7:$I$69, 5, FALSE)</f>
        <v>46322</v>
      </c>
      <c r="T36" s="44">
        <f>VLOOKUP(A36, '15_Chia task(UC)'!$D$7:$I$69, 6, FALSE)</f>
        <v>46328</v>
      </c>
    </row>
    <row r="37" ht="15.75" customHeight="1">
      <c r="A37" s="25" t="s">
        <v>737</v>
      </c>
      <c r="B37" s="9" t="s">
        <v>735</v>
      </c>
      <c r="C37" s="21" t="s">
        <v>129</v>
      </c>
      <c r="D37" s="9" t="s">
        <v>251</v>
      </c>
      <c r="E37" s="9"/>
      <c r="F37" s="21" t="s">
        <v>482</v>
      </c>
      <c r="G37" s="21" t="s">
        <v>483</v>
      </c>
      <c r="H37" s="9" t="s">
        <v>2001</v>
      </c>
      <c r="I37" s="9" t="s">
        <v>2002</v>
      </c>
      <c r="J37" s="9" t="s">
        <v>2003</v>
      </c>
      <c r="K37" s="9" t="s">
        <v>2004</v>
      </c>
      <c r="L37" s="9" t="s">
        <v>2005</v>
      </c>
      <c r="M37" s="9"/>
      <c r="N37" s="21">
        <f>COUNTIF('10_API'!$G:$G,A37)</f>
        <v>1</v>
      </c>
      <c r="O37" s="45" t="str">
        <f>VLOOKUP(A37, '15_Chia task(UC)'!$D$7:$G$69, 3, FALSE)</f>
        <v>Võ Quốc An</v>
      </c>
      <c r="P37" s="43" t="str">
        <f>VLOOKUP(A37, '15_Chia task(UC)'!$D$7:$G$69, 4, FALSE)</f>
        <v>Sprint 5</v>
      </c>
      <c r="Q37" s="21">
        <f t="shared" si="1"/>
        <v>8</v>
      </c>
      <c r="R37" s="21" t="s">
        <v>467</v>
      </c>
      <c r="S37" s="44">
        <f>VLOOKUP(A37, '15_Chia task(UC)'!$D$7:$I$69, 5, FALSE)</f>
        <v>46329</v>
      </c>
      <c r="T37" s="44">
        <f>VLOOKUP(A37, '15_Chia task(UC)'!$D$7:$I$69, 6, FALSE)</f>
        <v>46336</v>
      </c>
    </row>
    <row r="38" ht="15.75" customHeight="1">
      <c r="A38" s="25" t="s">
        <v>752</v>
      </c>
      <c r="B38" s="9" t="s">
        <v>750</v>
      </c>
      <c r="C38" s="21" t="s">
        <v>131</v>
      </c>
      <c r="D38" s="9" t="s">
        <v>284</v>
      </c>
      <c r="E38" s="9" t="s">
        <v>258</v>
      </c>
      <c r="F38" s="21" t="s">
        <v>463</v>
      </c>
      <c r="G38" s="21" t="s">
        <v>464</v>
      </c>
      <c r="H38" s="9" t="s">
        <v>2006</v>
      </c>
      <c r="I38" s="9" t="s">
        <v>2007</v>
      </c>
      <c r="J38" s="9" t="s">
        <v>2008</v>
      </c>
      <c r="K38" s="9" t="s">
        <v>2009</v>
      </c>
      <c r="L38" s="9" t="s">
        <v>2010</v>
      </c>
      <c r="M38" s="9" t="s">
        <v>2011</v>
      </c>
      <c r="N38" s="21">
        <f>COUNTIF('10_API'!$G:$G,A38)</f>
        <v>2</v>
      </c>
      <c r="O38" s="45" t="str">
        <f>VLOOKUP(A38, '15_Chia task(UC)'!$D$7:$G$69, 3, FALSE)</f>
        <v>Lê Nhựt Huy</v>
      </c>
      <c r="P38" s="43" t="str">
        <f>VLOOKUP(A38, '15_Chia task(UC)'!$D$7:$G$69, 4, FALSE)</f>
        <v>Sprint 1</v>
      </c>
      <c r="Q38" s="21">
        <f t="shared" si="1"/>
        <v>8</v>
      </c>
      <c r="R38" s="21" t="s">
        <v>467</v>
      </c>
      <c r="S38" s="44">
        <f>VLOOKUP(A38, '15_Chia task(UC)'!$D$7:$I$69, 5, FALSE)</f>
        <v>46305</v>
      </c>
      <c r="T38" s="44">
        <f>VLOOKUP(A38, '15_Chia task(UC)'!$D$7:$I$69, 6, FALSE)</f>
        <v>46307</v>
      </c>
    </row>
    <row r="39" ht="15.75" customHeight="1">
      <c r="A39" s="25" t="s">
        <v>399</v>
      </c>
      <c r="B39" s="9" t="s">
        <v>398</v>
      </c>
      <c r="C39" s="21" t="s">
        <v>131</v>
      </c>
      <c r="D39" s="9" t="s">
        <v>215</v>
      </c>
      <c r="E39" s="9" t="s">
        <v>258</v>
      </c>
      <c r="F39" s="21" t="s">
        <v>463</v>
      </c>
      <c r="G39" s="21" t="s">
        <v>464</v>
      </c>
      <c r="H39" s="9" t="s">
        <v>2012</v>
      </c>
      <c r="I39" s="9" t="s">
        <v>2013</v>
      </c>
      <c r="J39" s="9" t="s">
        <v>2014</v>
      </c>
      <c r="K39" s="9" t="s">
        <v>2015</v>
      </c>
      <c r="L39" s="9" t="s">
        <v>2016</v>
      </c>
      <c r="M39" s="9" t="s">
        <v>2017</v>
      </c>
      <c r="N39" s="21">
        <f>COUNTIF('10_API'!$G:$G,A39)</f>
        <v>1</v>
      </c>
      <c r="O39" s="45" t="str">
        <f>VLOOKUP(A39, '15_Chia task(UC)'!$D$7:$G$69, 3, FALSE)</f>
        <v>Lê Nhựt Huy</v>
      </c>
      <c r="P39" s="43" t="str">
        <f>VLOOKUP(A39, '15_Chia task(UC)'!$D$7:$G$69, 4, FALSE)</f>
        <v>Sprint 1</v>
      </c>
      <c r="Q39" s="21">
        <f t="shared" si="1"/>
        <v>8</v>
      </c>
      <c r="R39" s="21" t="s">
        <v>467</v>
      </c>
      <c r="S39" s="44">
        <f>VLOOKUP(A39, '15_Chia task(UC)'!$D$7:$I$69, 5, FALSE)</f>
        <v>46305</v>
      </c>
      <c r="T39" s="44">
        <f>VLOOKUP(A39, '15_Chia task(UC)'!$D$7:$I$69, 6, FALSE)</f>
        <v>46307</v>
      </c>
    </row>
    <row r="40" ht="15.75" customHeight="1">
      <c r="A40" s="25" t="s">
        <v>2018</v>
      </c>
      <c r="B40" s="9" t="s">
        <v>2019</v>
      </c>
      <c r="C40" s="21" t="s">
        <v>131</v>
      </c>
      <c r="D40" s="9" t="s">
        <v>317</v>
      </c>
      <c r="E40" s="9" t="s">
        <v>251</v>
      </c>
      <c r="F40" s="21" t="s">
        <v>463</v>
      </c>
      <c r="G40" s="21" t="s">
        <v>464</v>
      </c>
      <c r="H40" s="9" t="s">
        <v>2020</v>
      </c>
      <c r="I40" s="9" t="s">
        <v>2021</v>
      </c>
      <c r="J40" s="9" t="s">
        <v>2022</v>
      </c>
      <c r="K40" s="9" t="s">
        <v>2023</v>
      </c>
      <c r="L40" s="9" t="s">
        <v>2024</v>
      </c>
      <c r="M40" s="9"/>
      <c r="N40" s="21">
        <f>COUNTIF('10_API'!$G:$G,A40)</f>
        <v>2</v>
      </c>
      <c r="O40" s="45" t="str">
        <f>VLOOKUP(A40, '15_Chia task(UC)'!$D$7:$G$69, 3, FALSE)</f>
        <v>Lê Nhựt Huy</v>
      </c>
      <c r="P40" s="43" t="str">
        <f>VLOOKUP(A40, '15_Chia task(UC)'!$D$7:$G$69, 4, FALSE)</f>
        <v>Sprint 2</v>
      </c>
      <c r="Q40" s="21">
        <f t="shared" si="1"/>
        <v>8</v>
      </c>
      <c r="R40" s="21" t="s">
        <v>467</v>
      </c>
      <c r="S40" s="44">
        <f>VLOOKUP(A40, '15_Chia task(UC)'!$D$7:$I$69, 5, FALSE)</f>
        <v>46308</v>
      </c>
      <c r="T40" s="44">
        <f>VLOOKUP(A40, '15_Chia task(UC)'!$D$7:$I$69, 6, FALSE)</f>
        <v>46314</v>
      </c>
    </row>
    <row r="41" ht="15.75" customHeight="1">
      <c r="A41" s="25" t="s">
        <v>808</v>
      </c>
      <c r="B41" s="9" t="s">
        <v>2025</v>
      </c>
      <c r="C41" s="21" t="s">
        <v>131</v>
      </c>
      <c r="D41" s="9" t="s">
        <v>317</v>
      </c>
      <c r="E41" s="9" t="s">
        <v>2026</v>
      </c>
      <c r="F41" s="21" t="s">
        <v>463</v>
      </c>
      <c r="G41" s="21" t="s">
        <v>464</v>
      </c>
      <c r="H41" s="9" t="s">
        <v>2027</v>
      </c>
      <c r="I41" s="9" t="s">
        <v>2028</v>
      </c>
      <c r="J41" s="9" t="s">
        <v>2029</v>
      </c>
      <c r="K41" s="9" t="s">
        <v>2030</v>
      </c>
      <c r="L41" s="9" t="s">
        <v>2031</v>
      </c>
      <c r="M41" s="9"/>
      <c r="N41" s="21">
        <f>COUNTIF('10_API'!$G:$G,A41)</f>
        <v>1</v>
      </c>
      <c r="O41" s="45" t="str">
        <f>VLOOKUP(A41, '15_Chia task(UC)'!$D$7:$G$69, 3, FALSE)</f>
        <v>Lê Nhựt Huy</v>
      </c>
      <c r="P41" s="43" t="str">
        <f>VLOOKUP(A41, '15_Chia task(UC)'!$D$7:$G$69, 4, FALSE)</f>
        <v>Sprint 5</v>
      </c>
      <c r="Q41" s="21">
        <f t="shared" si="1"/>
        <v>8</v>
      </c>
      <c r="R41" s="21" t="s">
        <v>467</v>
      </c>
      <c r="S41" s="44">
        <f>VLOOKUP(A41, '15_Chia task(UC)'!$D$7:$I$69, 5, FALSE)</f>
        <v>46329</v>
      </c>
      <c r="T41" s="44">
        <f>VLOOKUP(A41, '15_Chia task(UC)'!$D$7:$I$69, 6, FALSE)</f>
        <v>46339</v>
      </c>
    </row>
    <row r="42" ht="15.75" customHeight="1">
      <c r="A42" s="25" t="s">
        <v>776</v>
      </c>
      <c r="B42" s="9" t="s">
        <v>2032</v>
      </c>
      <c r="C42" s="21" t="s">
        <v>131</v>
      </c>
      <c r="D42" s="9" t="s">
        <v>284</v>
      </c>
      <c r="E42" s="9"/>
      <c r="F42" s="21" t="s">
        <v>463</v>
      </c>
      <c r="G42" s="21" t="s">
        <v>464</v>
      </c>
      <c r="H42" s="9" t="s">
        <v>1822</v>
      </c>
      <c r="I42" s="9" t="s">
        <v>2033</v>
      </c>
      <c r="J42" s="9" t="s">
        <v>2034</v>
      </c>
      <c r="K42" s="9" t="s">
        <v>2035</v>
      </c>
      <c r="L42" s="9" t="s">
        <v>2036</v>
      </c>
      <c r="M42" s="9" t="s">
        <v>2037</v>
      </c>
      <c r="N42" s="21">
        <f>COUNTIF('10_API'!$G:$G,A42)</f>
        <v>3</v>
      </c>
      <c r="O42" s="45" t="str">
        <f>VLOOKUP(A42, '15_Chia task(UC)'!$D$7:$G$69, 3, FALSE)</f>
        <v>Lê Nhựt Huy</v>
      </c>
      <c r="P42" s="43" t="str">
        <f>VLOOKUP(A42, '15_Chia task(UC)'!$D$7:$G$69, 4, FALSE)</f>
        <v>Sprint 3</v>
      </c>
      <c r="Q42" s="21">
        <f t="shared" si="1"/>
        <v>8</v>
      </c>
      <c r="R42" s="21" t="s">
        <v>467</v>
      </c>
      <c r="S42" s="44">
        <f>VLOOKUP(A42, '15_Chia task(UC)'!$D$7:$I$69, 5, FALSE)</f>
        <v>46315</v>
      </c>
      <c r="T42" s="44">
        <f>VLOOKUP(A42, '15_Chia task(UC)'!$D$7:$I$69, 6, FALSE)</f>
        <v>46321</v>
      </c>
    </row>
    <row r="43" ht="15.75" customHeight="1">
      <c r="A43" s="25" t="s">
        <v>817</v>
      </c>
      <c r="B43" s="9" t="s">
        <v>815</v>
      </c>
      <c r="C43" s="21" t="s">
        <v>131</v>
      </c>
      <c r="D43" s="9" t="s">
        <v>251</v>
      </c>
      <c r="E43" s="9"/>
      <c r="F43" s="21" t="s">
        <v>463</v>
      </c>
      <c r="G43" s="21" t="s">
        <v>464</v>
      </c>
      <c r="H43" s="9" t="s">
        <v>1858</v>
      </c>
      <c r="I43" s="9" t="s">
        <v>2038</v>
      </c>
      <c r="J43" s="9" t="s">
        <v>2039</v>
      </c>
      <c r="K43" s="9" t="s">
        <v>2040</v>
      </c>
      <c r="L43" s="9" t="s">
        <v>2041</v>
      </c>
      <c r="M43" s="9" t="s">
        <v>2042</v>
      </c>
      <c r="N43" s="21">
        <f>COUNTIF('10_API'!$G:$G,A43)</f>
        <v>3</v>
      </c>
      <c r="O43" s="45" t="str">
        <f>VLOOKUP(A43, '15_Chia task(UC)'!$D$7:$G$69, 3, FALSE)</f>
        <v>Lê Nhựt Huy</v>
      </c>
      <c r="P43" s="43" t="str">
        <f>VLOOKUP(A43, '15_Chia task(UC)'!$D$7:$G$69, 4, FALSE)</f>
        <v>Sprint 4</v>
      </c>
      <c r="Q43" s="21">
        <f t="shared" si="1"/>
        <v>8</v>
      </c>
      <c r="R43" s="21" t="s">
        <v>467</v>
      </c>
      <c r="S43" s="44">
        <f>VLOOKUP(A43, '15_Chia task(UC)'!$D$7:$I$69, 5, FALSE)</f>
        <v>46322</v>
      </c>
      <c r="T43" s="44">
        <f>VLOOKUP(A43, '15_Chia task(UC)'!$D$7:$I$69, 6, FALSE)</f>
        <v>46328</v>
      </c>
    </row>
    <row r="44" ht="15.75" customHeight="1">
      <c r="A44" s="25" t="s">
        <v>822</v>
      </c>
      <c r="B44" s="9" t="s">
        <v>820</v>
      </c>
      <c r="C44" s="21" t="s">
        <v>131</v>
      </c>
      <c r="D44" s="9" t="s">
        <v>251</v>
      </c>
      <c r="E44" s="9"/>
      <c r="F44" s="21" t="s">
        <v>463</v>
      </c>
      <c r="G44" s="21" t="s">
        <v>464</v>
      </c>
      <c r="H44" s="9" t="s">
        <v>2043</v>
      </c>
      <c r="I44" s="9" t="s">
        <v>2044</v>
      </c>
      <c r="J44" s="9" t="s">
        <v>2045</v>
      </c>
      <c r="K44" s="9" t="s">
        <v>2046</v>
      </c>
      <c r="L44" s="9" t="s">
        <v>2047</v>
      </c>
      <c r="M44" s="9" t="s">
        <v>2048</v>
      </c>
      <c r="N44" s="21">
        <f>COUNTIF('10_API'!$G:$G,A44)</f>
        <v>3</v>
      </c>
      <c r="O44" s="45" t="str">
        <f>VLOOKUP(A44, '15_Chia task(UC)'!$D$7:$G$69, 3, FALSE)</f>
        <v>Lê Nhựt Huy</v>
      </c>
      <c r="P44" s="43" t="str">
        <f>VLOOKUP(A44, '15_Chia task(UC)'!$D$7:$G$69, 4, FALSE)</f>
        <v>Sprint 3</v>
      </c>
      <c r="Q44" s="21">
        <f t="shared" si="1"/>
        <v>8</v>
      </c>
      <c r="R44" s="21" t="s">
        <v>467</v>
      </c>
      <c r="S44" s="44">
        <f>VLOOKUP(A44, '15_Chia task(UC)'!$D$7:$I$69, 5, FALSE)</f>
        <v>46315</v>
      </c>
      <c r="T44" s="44">
        <f>VLOOKUP(A44, '15_Chia task(UC)'!$D$7:$I$69, 6, FALSE)</f>
        <v>46321</v>
      </c>
    </row>
    <row r="45" ht="15.75" customHeight="1">
      <c r="A45" s="25" t="s">
        <v>342</v>
      </c>
      <c r="B45" s="9" t="s">
        <v>2049</v>
      </c>
      <c r="C45" s="21" t="s">
        <v>131</v>
      </c>
      <c r="D45" s="9" t="s">
        <v>349</v>
      </c>
      <c r="E45" s="9" t="s">
        <v>2050</v>
      </c>
      <c r="F45" s="21" t="s">
        <v>463</v>
      </c>
      <c r="G45" s="21" t="s">
        <v>464</v>
      </c>
      <c r="H45" s="9" t="s">
        <v>2051</v>
      </c>
      <c r="I45" s="9" t="s">
        <v>2052</v>
      </c>
      <c r="J45" s="9" t="s">
        <v>2053</v>
      </c>
      <c r="K45" s="9" t="s">
        <v>2054</v>
      </c>
      <c r="L45" s="9" t="s">
        <v>2055</v>
      </c>
      <c r="M45" s="9" t="s">
        <v>2056</v>
      </c>
      <c r="N45" s="21">
        <f>COUNTIF('10_API'!$G:$G,A45)</f>
        <v>6</v>
      </c>
      <c r="O45" s="45" t="str">
        <f>VLOOKUP(A45, '15_Chia task(UC)'!$D$7:$G$69, 3, FALSE)</f>
        <v>Trần Công Thuận</v>
      </c>
      <c r="P45" s="43" t="str">
        <f>VLOOKUP(A45, '15_Chia task(UC)'!$D$7:$G$69, 4, FALSE)</f>
        <v>Sprint 2</v>
      </c>
      <c r="Q45" s="21">
        <f t="shared" si="1"/>
        <v>6</v>
      </c>
      <c r="R45" s="21" t="s">
        <v>467</v>
      </c>
      <c r="S45" s="44">
        <f>VLOOKUP(A45, '15_Chia task(UC)'!$D$7:$I$69, 5, FALSE)</f>
        <v>46308</v>
      </c>
      <c r="T45" s="44">
        <f>VLOOKUP(A45, '15_Chia task(UC)'!$D$7:$I$69, 6, FALSE)</f>
        <v>46314</v>
      </c>
    </row>
    <row r="46" ht="15.75" customHeight="1">
      <c r="A46" s="25" t="s">
        <v>766</v>
      </c>
      <c r="B46" s="9" t="s">
        <v>2057</v>
      </c>
      <c r="C46" s="21" t="s">
        <v>131</v>
      </c>
      <c r="D46" s="9" t="s">
        <v>317</v>
      </c>
      <c r="E46" s="9" t="s">
        <v>258</v>
      </c>
      <c r="F46" s="21" t="s">
        <v>463</v>
      </c>
      <c r="G46" s="21" t="s">
        <v>464</v>
      </c>
      <c r="H46" s="9" t="s">
        <v>2058</v>
      </c>
      <c r="I46" s="9" t="s">
        <v>2059</v>
      </c>
      <c r="J46" s="9" t="s">
        <v>2060</v>
      </c>
      <c r="K46" s="9" t="s">
        <v>2061</v>
      </c>
      <c r="L46" s="9" t="s">
        <v>2062</v>
      </c>
      <c r="M46" s="9"/>
      <c r="N46" s="21">
        <f>COUNTIF('10_API'!$G:$G,A46)</f>
        <v>1</v>
      </c>
      <c r="O46" s="45" t="str">
        <f>VLOOKUP(A46, '15_Chia task(UC)'!$D$7:$G$69, 3, FALSE)</f>
        <v>Lê Nhựt Huy</v>
      </c>
      <c r="P46" s="43" t="str">
        <f>VLOOKUP(A46, '15_Chia task(UC)'!$D$7:$G$69, 4, FALSE)</f>
        <v>Sprint 2</v>
      </c>
      <c r="Q46" s="21">
        <f t="shared" si="1"/>
        <v>8</v>
      </c>
      <c r="R46" s="21" t="s">
        <v>467</v>
      </c>
      <c r="S46" s="44">
        <f>VLOOKUP(A46, '15_Chia task(UC)'!$D$7:$I$69, 5, FALSE)</f>
        <v>46308</v>
      </c>
      <c r="T46" s="44">
        <f>VLOOKUP(A46, '15_Chia task(UC)'!$D$7:$I$69, 6, FALSE)</f>
        <v>46314</v>
      </c>
    </row>
    <row r="47" ht="15.75" customHeight="1">
      <c r="A47" s="25" t="s">
        <v>839</v>
      </c>
      <c r="B47" s="9" t="s">
        <v>2063</v>
      </c>
      <c r="C47" s="21" t="s">
        <v>131</v>
      </c>
      <c r="D47" s="9" t="s">
        <v>317</v>
      </c>
      <c r="E47" s="9" t="s">
        <v>349</v>
      </c>
      <c r="F47" s="21" t="s">
        <v>556</v>
      </c>
      <c r="G47" s="21" t="s">
        <v>557</v>
      </c>
      <c r="H47" s="9" t="s">
        <v>2064</v>
      </c>
      <c r="I47" s="9" t="s">
        <v>2065</v>
      </c>
      <c r="J47" s="9" t="s">
        <v>2066</v>
      </c>
      <c r="K47" s="9" t="s">
        <v>2067</v>
      </c>
      <c r="L47" s="9" t="s">
        <v>2068</v>
      </c>
      <c r="M47" s="9" t="s">
        <v>2069</v>
      </c>
      <c r="N47" s="21">
        <f>COUNTIF('10_API'!$G:$G,A47)</f>
        <v>4</v>
      </c>
      <c r="O47" s="45" t="str">
        <f>VLOOKUP(A47, '15_Chia task(UC)'!$D$7:$G$69, 3, FALSE)</f>
        <v>Lê Nhựt Huy</v>
      </c>
      <c r="P47" s="43" t="str">
        <f>VLOOKUP(A47, '15_Chia task(UC)'!$D$7:$G$69, 4, FALSE)</f>
        <v>Sprint 4</v>
      </c>
      <c r="Q47" s="21">
        <f t="shared" si="1"/>
        <v>8</v>
      </c>
      <c r="R47" s="21" t="s">
        <v>467</v>
      </c>
      <c r="S47" s="44">
        <f>VLOOKUP(A47, '15_Chia task(UC)'!$D$7:$I$69, 5, FALSE)</f>
        <v>46322</v>
      </c>
      <c r="T47" s="44">
        <f>VLOOKUP(A47, '15_Chia task(UC)'!$D$7:$I$69, 6, FALSE)</f>
        <v>46328</v>
      </c>
    </row>
    <row r="48" ht="15.75" customHeight="1">
      <c r="A48" s="25" t="s">
        <v>406</v>
      </c>
      <c r="B48" s="9" t="s">
        <v>861</v>
      </c>
      <c r="C48" s="21" t="s">
        <v>133</v>
      </c>
      <c r="D48" s="9" t="s">
        <v>215</v>
      </c>
      <c r="E48" s="9"/>
      <c r="F48" s="21" t="s">
        <v>482</v>
      </c>
      <c r="G48" s="21" t="s">
        <v>483</v>
      </c>
      <c r="H48" s="9" t="s">
        <v>2070</v>
      </c>
      <c r="I48" s="9" t="s">
        <v>2071</v>
      </c>
      <c r="J48" s="9" t="s">
        <v>2072</v>
      </c>
      <c r="K48" s="9" t="s">
        <v>2073</v>
      </c>
      <c r="L48" s="9" t="s">
        <v>2074</v>
      </c>
      <c r="M48" s="9" t="s">
        <v>2075</v>
      </c>
      <c r="N48" s="21">
        <f>COUNTIF('10_API'!$G:$G,A48)</f>
        <v>1</v>
      </c>
      <c r="O48" s="45" t="str">
        <f>VLOOKUP(A48, '15_Chia task(UC)'!$D$7:$G$69, 3, FALSE)</f>
        <v>Nguyễn Thành Huy</v>
      </c>
      <c r="P48" s="43" t="str">
        <f>VLOOKUP(A48, '15_Chia task(UC)'!$D$7:$G$69, 4, FALSE)</f>
        <v>Sprint 3</v>
      </c>
      <c r="Q48" s="21">
        <f t="shared" si="1"/>
        <v>8</v>
      </c>
      <c r="R48" s="21" t="s">
        <v>467</v>
      </c>
      <c r="S48" s="44">
        <f>VLOOKUP(A48, '15_Chia task(UC)'!$D$7:$I$69, 5, FALSE)</f>
        <v>46315</v>
      </c>
      <c r="T48" s="44">
        <f>VLOOKUP(A48, '15_Chia task(UC)'!$D$7:$I$69, 6, FALSE)</f>
        <v>46321</v>
      </c>
    </row>
    <row r="49" ht="15.75" customHeight="1">
      <c r="A49" s="25" t="s">
        <v>408</v>
      </c>
      <c r="B49" s="9" t="s">
        <v>407</v>
      </c>
      <c r="C49" s="21" t="s">
        <v>133</v>
      </c>
      <c r="D49" s="9" t="s">
        <v>349</v>
      </c>
      <c r="E49" s="9"/>
      <c r="F49" s="21" t="s">
        <v>482</v>
      </c>
      <c r="G49" s="21" t="s">
        <v>483</v>
      </c>
      <c r="H49" s="9" t="s">
        <v>2076</v>
      </c>
      <c r="I49" s="9" t="s">
        <v>2077</v>
      </c>
      <c r="J49" s="9" t="s">
        <v>2078</v>
      </c>
      <c r="K49" s="9" t="s">
        <v>2079</v>
      </c>
      <c r="L49" s="9" t="s">
        <v>2080</v>
      </c>
      <c r="M49" s="9" t="s">
        <v>2081</v>
      </c>
      <c r="N49" s="21">
        <f>COUNTIF('10_API'!$G:$G,A49)</f>
        <v>3</v>
      </c>
      <c r="O49" s="45" t="str">
        <f>VLOOKUP(A49, '15_Chia task(UC)'!$D$7:$G$69, 3, FALSE)</f>
        <v>Trần Công Thuận</v>
      </c>
      <c r="P49" s="43" t="str">
        <f>VLOOKUP(A49, '15_Chia task(UC)'!$D$7:$G$69, 4, FALSE)</f>
        <v>Sprint 3</v>
      </c>
      <c r="Q49" s="21">
        <f t="shared" si="1"/>
        <v>6</v>
      </c>
      <c r="R49" s="21" t="s">
        <v>467</v>
      </c>
      <c r="S49" s="44">
        <f>VLOOKUP(A49, '15_Chia task(UC)'!$D$7:$I$69, 5, FALSE)</f>
        <v>46315</v>
      </c>
      <c r="T49" s="44">
        <f>VLOOKUP(A49, '15_Chia task(UC)'!$D$7:$I$69, 6, FALSE)</f>
        <v>46321</v>
      </c>
    </row>
    <row r="50" ht="15.75" customHeight="1">
      <c r="A50" s="25" t="s">
        <v>410</v>
      </c>
      <c r="B50" s="9" t="s">
        <v>2082</v>
      </c>
      <c r="C50" s="21" t="s">
        <v>143</v>
      </c>
      <c r="D50" s="9" t="s">
        <v>349</v>
      </c>
      <c r="E50" s="9"/>
      <c r="F50" s="21" t="s">
        <v>463</v>
      </c>
      <c r="G50" s="21" t="s">
        <v>464</v>
      </c>
      <c r="H50" s="9" t="s">
        <v>2083</v>
      </c>
      <c r="I50" s="9" t="s">
        <v>2084</v>
      </c>
      <c r="J50" s="9" t="s">
        <v>2085</v>
      </c>
      <c r="K50" s="9" t="s">
        <v>2086</v>
      </c>
      <c r="L50" s="9" t="s">
        <v>2087</v>
      </c>
      <c r="M50" s="9" t="s">
        <v>2088</v>
      </c>
      <c r="N50" s="21">
        <f>COUNTIF('10_API'!$G:$G,A50)</f>
        <v>3</v>
      </c>
      <c r="O50" s="45" t="str">
        <f>VLOOKUP(A50, '15_Chia task(UC)'!$D$7:$G$69, 3, FALSE)</f>
        <v>Trần Công Thuận</v>
      </c>
      <c r="P50" s="43" t="str">
        <f>VLOOKUP(A50, '15_Chia task(UC)'!$D$7:$G$69, 4, FALSE)</f>
        <v>Sprint 1</v>
      </c>
      <c r="Q50" s="21">
        <f t="shared" si="1"/>
        <v>6</v>
      </c>
      <c r="R50" s="21" t="s">
        <v>467</v>
      </c>
      <c r="S50" s="44">
        <f>VLOOKUP(A50, '15_Chia task(UC)'!$D$7:$I$69, 5, FALSE)</f>
        <v>46305</v>
      </c>
      <c r="T50" s="44">
        <f>VLOOKUP(A50, '15_Chia task(UC)'!$D$7:$I$69, 6, FALSE)</f>
        <v>46307</v>
      </c>
    </row>
    <row r="51" ht="15.75" customHeight="1">
      <c r="A51" s="25" t="s">
        <v>412</v>
      </c>
      <c r="B51" s="9" t="s">
        <v>411</v>
      </c>
      <c r="C51" s="21" t="s">
        <v>135</v>
      </c>
      <c r="D51" s="9" t="s">
        <v>284</v>
      </c>
      <c r="E51" s="9"/>
      <c r="F51" s="21" t="s">
        <v>463</v>
      </c>
      <c r="G51" s="21" t="s">
        <v>464</v>
      </c>
      <c r="H51" s="9" t="s">
        <v>2089</v>
      </c>
      <c r="I51" s="9" t="s">
        <v>2090</v>
      </c>
      <c r="J51" s="9" t="s">
        <v>2091</v>
      </c>
      <c r="K51" s="9" t="s">
        <v>2092</v>
      </c>
      <c r="L51" s="9" t="s">
        <v>2093</v>
      </c>
      <c r="M51" s="9" t="s">
        <v>2094</v>
      </c>
      <c r="N51" s="21">
        <f>COUNTIF('10_API'!$G:$G,A51)</f>
        <v>1</v>
      </c>
      <c r="O51" s="45" t="str">
        <f>VLOOKUP(A51, '15_Chia task(UC)'!$D$7:$G$69, 3, FALSE)</f>
        <v>Huỳnh Phi Long</v>
      </c>
      <c r="P51" s="43" t="str">
        <f>VLOOKUP(A51, '15_Chia task(UC)'!$D$7:$G$69, 4, FALSE)</f>
        <v>Sprint 4</v>
      </c>
      <c r="Q51" s="21">
        <f t="shared" si="1"/>
        <v>8</v>
      </c>
      <c r="R51" s="21" t="s">
        <v>467</v>
      </c>
      <c r="S51" s="44">
        <f>VLOOKUP(A51, '15_Chia task(UC)'!$D$7:$I$69, 5, FALSE)</f>
        <v>46322</v>
      </c>
      <c r="T51" s="44">
        <f>VLOOKUP(A51, '15_Chia task(UC)'!$D$7:$I$69, 6, FALSE)</f>
        <v>46328</v>
      </c>
    </row>
    <row r="52" ht="15.75" customHeight="1">
      <c r="A52" s="25" t="s">
        <v>414</v>
      </c>
      <c r="B52" s="9" t="s">
        <v>413</v>
      </c>
      <c r="C52" s="21" t="s">
        <v>135</v>
      </c>
      <c r="D52" s="9" t="s">
        <v>284</v>
      </c>
      <c r="E52" s="9"/>
      <c r="F52" s="21" t="s">
        <v>463</v>
      </c>
      <c r="G52" s="21" t="s">
        <v>464</v>
      </c>
      <c r="H52" s="9"/>
      <c r="I52" s="9" t="s">
        <v>2095</v>
      </c>
      <c r="J52" s="9" t="s">
        <v>2096</v>
      </c>
      <c r="K52" s="9" t="s">
        <v>2097</v>
      </c>
      <c r="L52" s="9" t="s">
        <v>2098</v>
      </c>
      <c r="M52" s="9" t="s">
        <v>2099</v>
      </c>
      <c r="N52" s="21">
        <f>COUNTIF('10_API'!$G:$G,A52)</f>
        <v>3</v>
      </c>
      <c r="O52" s="45" t="str">
        <f>VLOOKUP(A52, '15_Chia task(UC)'!$D$7:$G$69, 3, FALSE)</f>
        <v>Huỳnh Phi Long</v>
      </c>
      <c r="P52" s="43" t="str">
        <f>VLOOKUP(A52, '15_Chia task(UC)'!$D$7:$G$69, 4, FALSE)</f>
        <v>Sprint 5</v>
      </c>
      <c r="Q52" s="21">
        <f t="shared" si="1"/>
        <v>8</v>
      </c>
      <c r="R52" s="21" t="s">
        <v>467</v>
      </c>
      <c r="S52" s="44">
        <f>VLOOKUP(A52, '15_Chia task(UC)'!$D$7:$I$69, 5, FALSE)</f>
        <v>46329</v>
      </c>
      <c r="T52" s="44">
        <f>VLOOKUP(A52, '15_Chia task(UC)'!$D$7:$I$69, 6, FALSE)</f>
        <v>46339</v>
      </c>
    </row>
    <row r="53" ht="15.75" customHeight="1">
      <c r="A53" s="25" t="s">
        <v>883</v>
      </c>
      <c r="B53" s="9" t="s">
        <v>2100</v>
      </c>
      <c r="C53" s="21" t="s">
        <v>135</v>
      </c>
      <c r="D53" s="9" t="s">
        <v>317</v>
      </c>
      <c r="E53" s="9"/>
      <c r="F53" s="21" t="s">
        <v>463</v>
      </c>
      <c r="G53" s="21" t="s">
        <v>464</v>
      </c>
      <c r="H53" s="9" t="s">
        <v>2101</v>
      </c>
      <c r="I53" s="9" t="s">
        <v>2102</v>
      </c>
      <c r="J53" s="9" t="s">
        <v>2103</v>
      </c>
      <c r="K53" s="9" t="s">
        <v>2104</v>
      </c>
      <c r="L53" s="9" t="s">
        <v>2105</v>
      </c>
      <c r="M53" s="9"/>
      <c r="N53" s="21">
        <f>COUNTIF('10_API'!$G:$G,A53)</f>
        <v>1</v>
      </c>
      <c r="O53" s="45" t="str">
        <f>VLOOKUP(A53, '15_Chia task(UC)'!$D$7:$G$69, 3, FALSE)</f>
        <v>Trần Công Thuận</v>
      </c>
      <c r="P53" s="43" t="str">
        <f>VLOOKUP(A53, '15_Chia task(UC)'!$D$7:$G$69, 4, FALSE)</f>
        <v>Sprint 2</v>
      </c>
      <c r="Q53" s="21">
        <f t="shared" si="1"/>
        <v>6</v>
      </c>
      <c r="R53" s="21" t="s">
        <v>467</v>
      </c>
      <c r="S53" s="44">
        <f>VLOOKUP(A53, '15_Chia task(UC)'!$D$7:$I$69, 5, FALSE)</f>
        <v>46308</v>
      </c>
      <c r="T53" s="44">
        <f>VLOOKUP(A53, '15_Chia task(UC)'!$D$7:$I$69, 6, FALSE)</f>
        <v>46314</v>
      </c>
    </row>
    <row r="54" ht="15.75" customHeight="1">
      <c r="A54" s="25" t="s">
        <v>416</v>
      </c>
      <c r="B54" s="9" t="s">
        <v>415</v>
      </c>
      <c r="C54" s="21" t="s">
        <v>137</v>
      </c>
      <c r="D54" s="9" t="s">
        <v>284</v>
      </c>
      <c r="E54" s="9"/>
      <c r="F54" s="21" t="s">
        <v>463</v>
      </c>
      <c r="G54" s="21" t="s">
        <v>464</v>
      </c>
      <c r="H54" s="9" t="s">
        <v>2106</v>
      </c>
      <c r="I54" s="9" t="s">
        <v>2107</v>
      </c>
      <c r="J54" s="9" t="s">
        <v>2108</v>
      </c>
      <c r="K54" s="9" t="s">
        <v>2109</v>
      </c>
      <c r="L54" s="9" t="s">
        <v>2110</v>
      </c>
      <c r="M54" s="9" t="s">
        <v>2111</v>
      </c>
      <c r="N54" s="21">
        <f>COUNTIF('10_API'!$G:$G,A54)</f>
        <v>1</v>
      </c>
      <c r="O54" s="45" t="str">
        <f>VLOOKUP(A54, '15_Chia task(UC)'!$D$7:$G$69, 3, FALSE)</f>
        <v>Huỳnh Phi Long</v>
      </c>
      <c r="P54" s="43" t="str">
        <f>VLOOKUP(A54, '15_Chia task(UC)'!$D$7:$G$69, 4, FALSE)</f>
        <v>Sprint 5</v>
      </c>
      <c r="Q54" s="21">
        <f t="shared" si="1"/>
        <v>8</v>
      </c>
      <c r="R54" s="21" t="s">
        <v>467</v>
      </c>
      <c r="S54" s="44">
        <f>VLOOKUP(A54, '15_Chia task(UC)'!$D$7:$I$69, 5, FALSE)</f>
        <v>46329</v>
      </c>
      <c r="T54" s="44">
        <f>VLOOKUP(A54, '15_Chia task(UC)'!$D$7:$I$69, 6, FALSE)</f>
        <v>46339</v>
      </c>
    </row>
    <row r="55" ht="15.75" customHeight="1">
      <c r="A55" s="25" t="s">
        <v>418</v>
      </c>
      <c r="B55" s="9" t="s">
        <v>2112</v>
      </c>
      <c r="C55" s="21" t="s">
        <v>137</v>
      </c>
      <c r="D55" s="9" t="s">
        <v>348</v>
      </c>
      <c r="E55" s="9" t="s">
        <v>2113</v>
      </c>
      <c r="F55" s="21" t="s">
        <v>463</v>
      </c>
      <c r="G55" s="21" t="s">
        <v>464</v>
      </c>
      <c r="H55" s="9" t="s">
        <v>2114</v>
      </c>
      <c r="I55" s="9" t="s">
        <v>2115</v>
      </c>
      <c r="J55" s="9" t="s">
        <v>2116</v>
      </c>
      <c r="K55" s="9" t="s">
        <v>2117</v>
      </c>
      <c r="L55" s="9" t="s">
        <v>2118</v>
      </c>
      <c r="M55" s="9" t="s">
        <v>2119</v>
      </c>
      <c r="N55" s="21">
        <f>COUNTIF('10_API'!$G:$G,A55)</f>
        <v>5</v>
      </c>
      <c r="O55" s="45" t="str">
        <f>VLOOKUP(A55, '15_Chia task(UC)'!$D$7:$G$69, 3, FALSE)</f>
        <v>Trần Công Thuận</v>
      </c>
      <c r="P55" s="43" t="str">
        <f>VLOOKUP(A55, '15_Chia task(UC)'!$D$7:$G$69, 4, FALSE)</f>
        <v>Sprint 3</v>
      </c>
      <c r="Q55" s="21">
        <f t="shared" si="1"/>
        <v>6</v>
      </c>
      <c r="R55" s="21" t="s">
        <v>467</v>
      </c>
      <c r="S55" s="44">
        <f>VLOOKUP(A55, '15_Chia task(UC)'!$D$7:$I$69, 5, FALSE)</f>
        <v>46315</v>
      </c>
      <c r="T55" s="44">
        <f>VLOOKUP(A55, '15_Chia task(UC)'!$D$7:$I$69, 6, FALSE)</f>
        <v>46321</v>
      </c>
    </row>
    <row r="56" ht="15.75" customHeight="1">
      <c r="A56" s="25" t="s">
        <v>420</v>
      </c>
      <c r="B56" s="9" t="s">
        <v>419</v>
      </c>
      <c r="C56" s="21" t="s">
        <v>137</v>
      </c>
      <c r="D56" s="9" t="s">
        <v>349</v>
      </c>
      <c r="E56" s="9"/>
      <c r="F56" s="21" t="s">
        <v>463</v>
      </c>
      <c r="G56" s="21" t="s">
        <v>464</v>
      </c>
      <c r="H56" s="9" t="s">
        <v>2120</v>
      </c>
      <c r="I56" s="9" t="s">
        <v>2121</v>
      </c>
      <c r="J56" s="9" t="s">
        <v>2122</v>
      </c>
      <c r="K56" s="9" t="s">
        <v>2123</v>
      </c>
      <c r="L56" s="9" t="s">
        <v>2124</v>
      </c>
      <c r="M56" s="9" t="s">
        <v>2125</v>
      </c>
      <c r="N56" s="21">
        <f>COUNTIF('10_API'!$G:$G,A56)</f>
        <v>2</v>
      </c>
      <c r="O56" s="45" t="str">
        <f>VLOOKUP(A56, '15_Chia task(UC)'!$D$7:$G$69, 3, FALSE)</f>
        <v>Trần Công Thuận</v>
      </c>
      <c r="P56" s="43" t="str">
        <f>VLOOKUP(A56, '15_Chia task(UC)'!$D$7:$G$69, 4, FALSE)</f>
        <v>Sprint 4</v>
      </c>
      <c r="Q56" s="21">
        <f t="shared" si="1"/>
        <v>6</v>
      </c>
      <c r="R56" s="21" t="s">
        <v>467</v>
      </c>
      <c r="S56" s="44">
        <f>VLOOKUP(A56, '15_Chia task(UC)'!$D$7:$I$69, 5, FALSE)</f>
        <v>46322</v>
      </c>
      <c r="T56" s="44">
        <f>VLOOKUP(A56, '15_Chia task(UC)'!$D$7:$I$69, 6, FALSE)</f>
        <v>46328</v>
      </c>
    </row>
    <row r="57" ht="15.75" customHeight="1">
      <c r="A57" s="25" t="s">
        <v>422</v>
      </c>
      <c r="B57" s="9" t="s">
        <v>421</v>
      </c>
      <c r="C57" s="21" t="s">
        <v>139</v>
      </c>
      <c r="D57" s="9" t="s">
        <v>284</v>
      </c>
      <c r="E57" s="9" t="s">
        <v>333</v>
      </c>
      <c r="F57" s="21" t="s">
        <v>463</v>
      </c>
      <c r="G57" s="21" t="s">
        <v>464</v>
      </c>
      <c r="H57" s="9"/>
      <c r="I57" s="9" t="s">
        <v>2126</v>
      </c>
      <c r="J57" s="9" t="s">
        <v>2127</v>
      </c>
      <c r="K57" s="9" t="s">
        <v>2128</v>
      </c>
      <c r="L57" s="9" t="s">
        <v>2129</v>
      </c>
      <c r="M57" s="9" t="s">
        <v>2130</v>
      </c>
      <c r="N57" s="21">
        <f>COUNTIF('10_API'!$G:$G,A57)</f>
        <v>6</v>
      </c>
      <c r="O57" s="45" t="str">
        <f>VLOOKUP(A57, '15_Chia task(UC)'!$D$7:$G$69, 3, FALSE)</f>
        <v>Trần Công Thuận</v>
      </c>
      <c r="P57" s="43" t="str">
        <f>VLOOKUP(A57, '15_Chia task(UC)'!$D$7:$G$69, 4, FALSE)</f>
        <v>Sprint 1</v>
      </c>
      <c r="Q57" s="21">
        <f t="shared" si="1"/>
        <v>6</v>
      </c>
      <c r="R57" s="21" t="s">
        <v>467</v>
      </c>
      <c r="S57" s="44">
        <f>VLOOKUP(A57, '15_Chia task(UC)'!$D$7:$I$69, 5, FALSE)</f>
        <v>46305</v>
      </c>
      <c r="T57" s="44">
        <f>VLOOKUP(A57, '15_Chia task(UC)'!$D$7:$I$69, 6, FALSE)</f>
        <v>46307</v>
      </c>
    </row>
    <row r="58" ht="15.75" customHeight="1">
      <c r="A58" s="25" t="s">
        <v>425</v>
      </c>
      <c r="B58" s="9" t="s">
        <v>424</v>
      </c>
      <c r="C58" s="21" t="s">
        <v>141</v>
      </c>
      <c r="D58" s="9" t="s">
        <v>317</v>
      </c>
      <c r="E58" s="9" t="s">
        <v>348</v>
      </c>
      <c r="F58" s="21" t="s">
        <v>463</v>
      </c>
      <c r="G58" s="21" t="s">
        <v>464</v>
      </c>
      <c r="H58" s="9" t="s">
        <v>2131</v>
      </c>
      <c r="I58" s="9" t="s">
        <v>2132</v>
      </c>
      <c r="J58" s="9" t="s">
        <v>2133</v>
      </c>
      <c r="K58" s="9" t="s">
        <v>2134</v>
      </c>
      <c r="L58" s="9" t="s">
        <v>2135</v>
      </c>
      <c r="M58" s="9" t="s">
        <v>2136</v>
      </c>
      <c r="N58" s="21">
        <f>COUNTIF('10_API'!$G:$G,A58)</f>
        <v>3</v>
      </c>
      <c r="O58" s="45" t="str">
        <f>VLOOKUP(A58, '15_Chia task(UC)'!$D$7:$G$69, 3, FALSE)</f>
        <v>Trần Công Thuận</v>
      </c>
      <c r="P58" s="43" t="str">
        <f>VLOOKUP(A58, '15_Chia task(UC)'!$D$7:$G$69, 4, FALSE)</f>
        <v>Sprint 2</v>
      </c>
      <c r="Q58" s="21">
        <f t="shared" si="1"/>
        <v>6</v>
      </c>
      <c r="R58" s="21" t="s">
        <v>467</v>
      </c>
      <c r="S58" s="44">
        <f>VLOOKUP(A58, '15_Chia task(UC)'!$D$7:$I$69, 5, FALSE)</f>
        <v>46308</v>
      </c>
      <c r="T58" s="44">
        <f>VLOOKUP(A58, '15_Chia task(UC)'!$D$7:$I$69, 6, FALSE)</f>
        <v>46314</v>
      </c>
    </row>
    <row r="59" ht="15.75" customHeight="1">
      <c r="A59" s="25" t="s">
        <v>427</v>
      </c>
      <c r="B59" s="9" t="s">
        <v>426</v>
      </c>
      <c r="C59" s="21" t="s">
        <v>141</v>
      </c>
      <c r="D59" s="9" t="s">
        <v>284</v>
      </c>
      <c r="E59" s="9" t="s">
        <v>348</v>
      </c>
      <c r="F59" s="21" t="s">
        <v>463</v>
      </c>
      <c r="G59" s="21" t="s">
        <v>464</v>
      </c>
      <c r="H59" s="9" t="s">
        <v>1822</v>
      </c>
      <c r="I59" s="9" t="s">
        <v>2137</v>
      </c>
      <c r="J59" s="9" t="s">
        <v>2138</v>
      </c>
      <c r="K59" s="9" t="s">
        <v>2139</v>
      </c>
      <c r="L59" s="9" t="s">
        <v>2140</v>
      </c>
      <c r="M59" s="9" t="s">
        <v>2141</v>
      </c>
      <c r="N59" s="21">
        <f>COUNTIF('10_API'!$G:$G,A59)</f>
        <v>2</v>
      </c>
      <c r="O59" s="45" t="str">
        <f>VLOOKUP(A59, '15_Chia task(UC)'!$D$7:$G$69, 3, FALSE)</f>
        <v>Trần Công Thuận</v>
      </c>
      <c r="P59" s="43" t="str">
        <f>VLOOKUP(A59, '15_Chia task(UC)'!$D$7:$G$69, 4, FALSE)</f>
        <v>Sprint 4</v>
      </c>
      <c r="Q59" s="21">
        <f t="shared" si="1"/>
        <v>6</v>
      </c>
      <c r="R59" s="21" t="s">
        <v>467</v>
      </c>
      <c r="S59" s="44">
        <f>VLOOKUP(A59, '15_Chia task(UC)'!$D$7:$I$69, 5, FALSE)</f>
        <v>46322</v>
      </c>
      <c r="T59" s="44">
        <f>VLOOKUP(A59, '15_Chia task(UC)'!$D$7:$I$69, 6, FALSE)</f>
        <v>46328</v>
      </c>
    </row>
    <row r="60" ht="15.75" customHeight="1">
      <c r="A60" s="25" t="s">
        <v>429</v>
      </c>
      <c r="B60" s="9" t="s">
        <v>428</v>
      </c>
      <c r="C60" s="21" t="s">
        <v>141</v>
      </c>
      <c r="D60" s="9" t="s">
        <v>349</v>
      </c>
      <c r="E60" s="9"/>
      <c r="F60" s="21" t="s">
        <v>463</v>
      </c>
      <c r="G60" s="21" t="s">
        <v>464</v>
      </c>
      <c r="H60" s="9" t="s">
        <v>2083</v>
      </c>
      <c r="I60" s="9" t="s">
        <v>2142</v>
      </c>
      <c r="J60" s="9" t="s">
        <v>2143</v>
      </c>
      <c r="K60" s="9" t="s">
        <v>2144</v>
      </c>
      <c r="L60" s="9" t="s">
        <v>2145</v>
      </c>
      <c r="M60" s="9" t="s">
        <v>2146</v>
      </c>
      <c r="N60" s="21">
        <f>COUNTIF('10_API'!$G:$G,A60)</f>
        <v>3</v>
      </c>
      <c r="O60" s="45" t="str">
        <f>VLOOKUP(A60, '15_Chia task(UC)'!$D$7:$G$69, 3, FALSE)</f>
        <v>Trần Công Thuận</v>
      </c>
      <c r="P60" s="43" t="str">
        <f>VLOOKUP(A60, '15_Chia task(UC)'!$D$7:$G$69, 4, FALSE)</f>
        <v>Sprint 4</v>
      </c>
      <c r="Q60" s="21">
        <f t="shared" si="1"/>
        <v>6</v>
      </c>
      <c r="R60" s="21" t="s">
        <v>467</v>
      </c>
      <c r="S60" s="44">
        <f>VLOOKUP(A60, '15_Chia task(UC)'!$D$7:$I$69, 5, FALSE)</f>
        <v>46322</v>
      </c>
      <c r="T60" s="44">
        <f>VLOOKUP(A60, '15_Chia task(UC)'!$D$7:$I$69, 6, FALSE)</f>
        <v>46328</v>
      </c>
    </row>
    <row r="61" ht="15.75" customHeight="1">
      <c r="A61" s="25" t="s">
        <v>432</v>
      </c>
      <c r="B61" s="9" t="s">
        <v>431</v>
      </c>
      <c r="C61" s="21" t="s">
        <v>143</v>
      </c>
      <c r="D61" s="9" t="s">
        <v>349</v>
      </c>
      <c r="E61" s="9"/>
      <c r="F61" s="21" t="s">
        <v>463</v>
      </c>
      <c r="G61" s="21" t="s">
        <v>464</v>
      </c>
      <c r="H61" s="9" t="s">
        <v>2083</v>
      </c>
      <c r="I61" s="9" t="s">
        <v>2147</v>
      </c>
      <c r="J61" s="9" t="s">
        <v>2148</v>
      </c>
      <c r="K61" s="9" t="s">
        <v>2149</v>
      </c>
      <c r="L61" s="9" t="s">
        <v>2150</v>
      </c>
      <c r="M61" s="9" t="s">
        <v>2151</v>
      </c>
      <c r="N61" s="21">
        <f>COUNTIF('10_API'!$G:$G,A61)</f>
        <v>4</v>
      </c>
      <c r="O61" s="45" t="str">
        <f>VLOOKUP(A61, '15_Chia task(UC)'!$D$7:$G$69, 3, FALSE)</f>
        <v>Trần Công Thuận</v>
      </c>
      <c r="P61" s="43" t="str">
        <f>VLOOKUP(A61, '15_Chia task(UC)'!$D$7:$G$69, 4, FALSE)</f>
        <v>Sprint 3</v>
      </c>
      <c r="Q61" s="21">
        <f t="shared" si="1"/>
        <v>6</v>
      </c>
      <c r="R61" s="21" t="s">
        <v>467</v>
      </c>
      <c r="S61" s="44">
        <f>VLOOKUP(A61, '15_Chia task(UC)'!$D$7:$I$69, 5, FALSE)</f>
        <v>46315</v>
      </c>
      <c r="T61" s="44">
        <f>VLOOKUP(A61, '15_Chia task(UC)'!$D$7:$I$69, 6, FALSE)</f>
        <v>46321</v>
      </c>
    </row>
    <row r="62" ht="15.75" customHeight="1">
      <c r="A62" s="25" t="s">
        <v>434</v>
      </c>
      <c r="B62" s="9" t="s">
        <v>433</v>
      </c>
      <c r="C62" s="21" t="s">
        <v>143</v>
      </c>
      <c r="D62" s="9" t="s">
        <v>349</v>
      </c>
      <c r="E62" s="9"/>
      <c r="F62" s="21" t="s">
        <v>463</v>
      </c>
      <c r="G62" s="21" t="s">
        <v>464</v>
      </c>
      <c r="H62" s="9" t="s">
        <v>2083</v>
      </c>
      <c r="I62" s="9" t="s">
        <v>2152</v>
      </c>
      <c r="J62" s="9" t="s">
        <v>2153</v>
      </c>
      <c r="K62" s="9" t="s">
        <v>2154</v>
      </c>
      <c r="L62" s="9" t="s">
        <v>2155</v>
      </c>
      <c r="M62" s="9" t="s">
        <v>2156</v>
      </c>
      <c r="N62" s="21">
        <f>COUNTIF('10_API'!$G:$G,A62)</f>
        <v>6</v>
      </c>
      <c r="O62" s="45" t="str">
        <f>VLOOKUP(A62, '15_Chia task(UC)'!$D$7:$G$69, 3, FALSE)</f>
        <v>Nguyễn Thành Huy</v>
      </c>
      <c r="P62" s="43" t="str">
        <f>VLOOKUP(A62, '15_Chia task(UC)'!$D$7:$G$69, 4, FALSE)</f>
        <v>Sprint 3</v>
      </c>
      <c r="Q62" s="21">
        <f t="shared" si="1"/>
        <v>8</v>
      </c>
      <c r="R62" s="21" t="s">
        <v>467</v>
      </c>
      <c r="S62" s="44">
        <f>VLOOKUP(A62, '15_Chia task(UC)'!$D$7:$I$69, 5, FALSE)</f>
        <v>46315</v>
      </c>
      <c r="T62" s="44">
        <f>VLOOKUP(A62, '15_Chia task(UC)'!$D$7:$I$69, 6, FALSE)</f>
        <v>46321</v>
      </c>
    </row>
    <row r="63" ht="15.75" customHeight="1">
      <c r="A63" s="25" t="s">
        <v>436</v>
      </c>
      <c r="B63" s="9" t="s">
        <v>435</v>
      </c>
      <c r="C63" s="21" t="s">
        <v>143</v>
      </c>
      <c r="D63" s="9" t="s">
        <v>349</v>
      </c>
      <c r="E63" s="9"/>
      <c r="F63" s="21" t="s">
        <v>463</v>
      </c>
      <c r="G63" s="21" t="s">
        <v>464</v>
      </c>
      <c r="H63" s="9" t="s">
        <v>2083</v>
      </c>
      <c r="I63" s="9" t="s">
        <v>2157</v>
      </c>
      <c r="J63" s="9" t="s">
        <v>2158</v>
      </c>
      <c r="K63" s="9" t="s">
        <v>2159</v>
      </c>
      <c r="L63" s="9" t="s">
        <v>2160</v>
      </c>
      <c r="M63" s="9" t="s">
        <v>2161</v>
      </c>
      <c r="N63" s="21">
        <f>COUNTIF('10_API'!$G:$G,A63)</f>
        <v>3</v>
      </c>
      <c r="O63" s="45" t="str">
        <f>VLOOKUP(A63, '15_Chia task(UC)'!$D$7:$G$69, 3, FALSE)</f>
        <v>Trần Công Thuận</v>
      </c>
      <c r="P63" s="43" t="str">
        <f>VLOOKUP(A63, '15_Chia task(UC)'!$D$7:$G$69, 4, FALSE)</f>
        <v>Sprint 5</v>
      </c>
      <c r="Q63" s="21">
        <f t="shared" si="1"/>
        <v>6</v>
      </c>
      <c r="R63" s="21" t="s">
        <v>467</v>
      </c>
      <c r="S63" s="44">
        <f>VLOOKUP(A63, '15_Chia task(UC)'!$D$7:$I$69, 5, FALSE)</f>
        <v>46329</v>
      </c>
      <c r="T63" s="44">
        <f>VLOOKUP(A63, '15_Chia task(UC)'!$D$7:$I$69, 6, FALSE)</f>
        <v>46336</v>
      </c>
    </row>
    <row r="64" ht="15.75" customHeight="1">
      <c r="A64" s="25" t="s">
        <v>438</v>
      </c>
      <c r="B64" s="9" t="s">
        <v>437</v>
      </c>
      <c r="C64" s="21" t="s">
        <v>143</v>
      </c>
      <c r="D64" s="9" t="s">
        <v>349</v>
      </c>
      <c r="E64" s="9"/>
      <c r="F64" s="21" t="s">
        <v>556</v>
      </c>
      <c r="G64" s="21" t="s">
        <v>557</v>
      </c>
      <c r="H64" s="9" t="s">
        <v>2083</v>
      </c>
      <c r="I64" s="9" t="s">
        <v>2162</v>
      </c>
      <c r="J64" s="9" t="s">
        <v>2163</v>
      </c>
      <c r="K64" s="9" t="s">
        <v>2164</v>
      </c>
      <c r="L64" s="9" t="s">
        <v>2165</v>
      </c>
      <c r="M64" s="9" t="s">
        <v>2166</v>
      </c>
      <c r="N64" s="21">
        <f>COUNTIF('10_API'!$G:$G,A64)</f>
        <v>1</v>
      </c>
      <c r="O64" s="45" t="str">
        <f>VLOOKUP(A64, '15_Chia task(UC)'!$D$7:$G$69, 3, FALSE)</f>
        <v>Trần Công Thuận</v>
      </c>
      <c r="P64" s="43" t="str">
        <f>VLOOKUP(A64, '15_Chia task(UC)'!$D$7:$G$69, 4, FALSE)</f>
        <v>Sprint 5</v>
      </c>
      <c r="Q64" s="21">
        <f t="shared" si="1"/>
        <v>6</v>
      </c>
      <c r="R64" s="21" t="s">
        <v>467</v>
      </c>
      <c r="S64" s="44">
        <f>VLOOKUP(A64, '15_Chia task(UC)'!$D$7:$I$69, 5, FALSE)</f>
        <v>46329</v>
      </c>
      <c r="T64" s="44">
        <f>VLOOKUP(A64, '15_Chia task(UC)'!$D$7:$I$69, 6, FALSE)</f>
        <v>46336</v>
      </c>
    </row>
    <row r="65" ht="15.75" customHeight="1">
      <c r="A65" s="25" t="s">
        <v>440</v>
      </c>
      <c r="B65" s="9" t="s">
        <v>439</v>
      </c>
      <c r="C65" s="21" t="s">
        <v>145</v>
      </c>
      <c r="D65" s="9" t="s">
        <v>251</v>
      </c>
      <c r="E65" s="9"/>
      <c r="F65" s="21" t="s">
        <v>556</v>
      </c>
      <c r="G65" s="21" t="s">
        <v>557</v>
      </c>
      <c r="H65" s="9" t="s">
        <v>2167</v>
      </c>
      <c r="I65" s="9" t="s">
        <v>2168</v>
      </c>
      <c r="J65" s="9" t="s">
        <v>2169</v>
      </c>
      <c r="K65" s="9" t="s">
        <v>2170</v>
      </c>
      <c r="L65" s="9" t="s">
        <v>2171</v>
      </c>
      <c r="M65" s="9" t="s">
        <v>2172</v>
      </c>
      <c r="N65" s="21">
        <f>COUNTIF('10_API'!$G:$G,A65)</f>
        <v>2</v>
      </c>
      <c r="O65" s="45" t="str">
        <f>VLOOKUP(A65, '15_Chia task(UC)'!$D$7:$G$69, 3, FALSE)</f>
        <v>Lê Nhựt Huy</v>
      </c>
      <c r="P65" s="43" t="str">
        <f>VLOOKUP(A65, '15_Chia task(UC)'!$D$7:$G$69, 4, FALSE)</f>
        <v>Sprint 5</v>
      </c>
      <c r="Q65" s="21">
        <f t="shared" si="1"/>
        <v>8</v>
      </c>
      <c r="R65" s="21" t="s">
        <v>467</v>
      </c>
      <c r="S65" s="44">
        <f>VLOOKUP(A65, '15_Chia task(UC)'!$D$7:$I$69, 5, FALSE)</f>
        <v>46329</v>
      </c>
      <c r="T65" s="44">
        <f>VLOOKUP(A65, '15_Chia task(UC)'!$D$7:$I$69, 6, FALSE)</f>
        <v>46339</v>
      </c>
    </row>
    <row r="66" ht="15.75" customHeight="1">
      <c r="A66" s="25" t="s">
        <v>442</v>
      </c>
      <c r="B66" s="9" t="s">
        <v>2173</v>
      </c>
      <c r="C66" s="21" t="s">
        <v>145</v>
      </c>
      <c r="D66" s="9" t="s">
        <v>284</v>
      </c>
      <c r="E66" s="9"/>
      <c r="F66" s="21" t="s">
        <v>482</v>
      </c>
      <c r="G66" s="21" t="s">
        <v>483</v>
      </c>
      <c r="H66" s="9" t="s">
        <v>2174</v>
      </c>
      <c r="I66" s="9" t="s">
        <v>2175</v>
      </c>
      <c r="J66" s="9" t="s">
        <v>2176</v>
      </c>
      <c r="K66" s="9" t="s">
        <v>2177</v>
      </c>
      <c r="L66" s="9" t="s">
        <v>2178</v>
      </c>
      <c r="M66" s="9" t="s">
        <v>2179</v>
      </c>
      <c r="N66" s="21">
        <f>COUNTIF('10_API'!$G:$G,A66)</f>
        <v>2</v>
      </c>
      <c r="O66" s="45" t="str">
        <f>VLOOKUP(A66, '15_Chia task(UC)'!$D$7:$G$69, 3, FALSE)</f>
        <v>Lư Hữu Luân</v>
      </c>
      <c r="P66" s="43" t="str">
        <f>VLOOKUP(A66, '15_Chia task(UC)'!$D$7:$G$69, 4, FALSE)</f>
        <v>Sprint 5</v>
      </c>
      <c r="Q66" s="21">
        <f t="shared" si="1"/>
        <v>8</v>
      </c>
      <c r="R66" s="21" t="s">
        <v>467</v>
      </c>
      <c r="S66" s="44">
        <f>VLOOKUP(A66, '15_Chia task(UC)'!$D$7:$I$69, 5, FALSE)</f>
        <v>46329</v>
      </c>
      <c r="T66" s="44">
        <f>VLOOKUP(A66, '15_Chia task(UC)'!$D$7:$I$69, 6, FALSE)</f>
        <v>46336</v>
      </c>
    </row>
    <row r="67" ht="15.75" customHeight="1">
      <c r="A67" s="25" t="s">
        <v>444</v>
      </c>
      <c r="B67" s="9" t="s">
        <v>2180</v>
      </c>
      <c r="C67" s="21" t="s">
        <v>143</v>
      </c>
      <c r="D67" s="9" t="s">
        <v>317</v>
      </c>
      <c r="E67" s="9" t="s">
        <v>349</v>
      </c>
      <c r="F67" s="21" t="s">
        <v>463</v>
      </c>
      <c r="G67" s="21" t="s">
        <v>464</v>
      </c>
      <c r="H67" s="9" t="s">
        <v>2181</v>
      </c>
      <c r="I67" s="9" t="s">
        <v>2182</v>
      </c>
      <c r="J67" s="9" t="s">
        <v>2183</v>
      </c>
      <c r="K67" s="9" t="s">
        <v>2184</v>
      </c>
      <c r="L67" s="9" t="s">
        <v>2185</v>
      </c>
      <c r="M67" s="9" t="s">
        <v>2186</v>
      </c>
      <c r="N67" s="21">
        <f>COUNTIF('10_API'!$G:$G,A67)</f>
        <v>3</v>
      </c>
      <c r="O67" s="45" t="str">
        <f>VLOOKUP(A67, '15_Chia task(UC)'!$D$7:$G$69, 3, FALSE)</f>
        <v>Trần Công Thuận</v>
      </c>
      <c r="P67" s="43" t="str">
        <f>VLOOKUP(A67, '15_Chia task(UC)'!$D$7:$G$69, 4, FALSE)</f>
        <v>Sprint 5</v>
      </c>
      <c r="Q67" s="21">
        <f t="shared" si="1"/>
        <v>6</v>
      </c>
      <c r="R67" s="21" t="s">
        <v>467</v>
      </c>
      <c r="S67" s="44">
        <f>VLOOKUP(A67, '15_Chia task(UC)'!$D$7:$I$69, 5, FALSE)</f>
        <v>46329</v>
      </c>
      <c r="T67" s="44">
        <f>VLOOKUP(A67, '15_Chia task(UC)'!$D$7:$I$69, 6, FALSE)</f>
        <v>46339</v>
      </c>
    </row>
    <row r="68" ht="15.75" customHeight="1"/>
    <row r="69" ht="15.75" customHeight="1">
      <c r="A69" s="46" t="s">
        <v>2187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R$67">
    <sortState ref="A4:R67">
      <sortCondition ref="A4:A67"/>
    </sortState>
  </autoFilter>
  <dataValidations>
    <dataValidation type="list" allowBlank="1" sqref="F5:F67">
      <formula1>"Must,Should,Could"</formula1>
    </dataValidation>
    <dataValidation type="list" allowBlank="1" sqref="O5:O67">
      <formula1>"Lư Hữu Luân,Lê Nhựt Huy,Võ Quốc An,Trần Công Thuận,Huỳnh Phi Long,Nguyễn Thành Huy"</formula1>
    </dataValidation>
    <dataValidation type="list" allowBlank="1" sqref="R5:R67">
      <formula1>"Dự thảo,Đã rà soát,Đã duyệt,Thay đổi,Hủy"</formula1>
    </dataValidation>
    <dataValidation type="list" allowBlank="1" sqref="G5:G67">
      <formula1>"Pha 1,Pha 2,Pha 3"</formula1>
    </dataValidation>
  </dataValidation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E75B6"/>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0"/>
    <col customWidth="1" min="2" max="2" width="34.0"/>
    <col customWidth="1" min="3" max="3" width="8.0"/>
    <col customWidth="1" min="4" max="4" width="9.0"/>
    <col customWidth="1" min="5" max="5" width="11.0"/>
    <col customWidth="1" min="6" max="7" width="12.0"/>
    <col customWidth="1" min="8" max="8" width="11.0"/>
    <col customWidth="1" min="9" max="9" width="8.0"/>
    <col customWidth="1" min="10" max="10" width="9.0"/>
    <col customWidth="1" min="11" max="11" width="60.0"/>
    <col customWidth="1" min="12" max="12" width="18.0"/>
    <col customWidth="1" min="13" max="13" width="8.0"/>
    <col customWidth="1" min="14" max="26" width="8.71"/>
  </cols>
  <sheetData>
    <row r="1" ht="25.5" customHeight="1">
      <c r="A1" s="1" t="s">
        <v>2188</v>
      </c>
    </row>
    <row r="2">
      <c r="A2" s="2" t="s">
        <v>2189</v>
      </c>
    </row>
    <row r="4" ht="33.75" customHeight="1">
      <c r="A4" s="8" t="s">
        <v>1786</v>
      </c>
      <c r="B4" s="8" t="s">
        <v>1787</v>
      </c>
      <c r="C4" s="8" t="s">
        <v>449</v>
      </c>
      <c r="D4" s="8" t="s">
        <v>454</v>
      </c>
      <c r="E4" s="8" t="s">
        <v>2190</v>
      </c>
      <c r="F4" s="8" t="s">
        <v>2191</v>
      </c>
      <c r="G4" s="8" t="s">
        <v>1205</v>
      </c>
      <c r="H4" s="8" t="s">
        <v>2192</v>
      </c>
      <c r="I4" s="8" t="s">
        <v>2193</v>
      </c>
      <c r="J4" s="8" t="s">
        <v>2194</v>
      </c>
      <c r="K4" s="8" t="s">
        <v>2195</v>
      </c>
      <c r="L4" s="8" t="s">
        <v>54</v>
      </c>
      <c r="M4" s="8" t="s">
        <v>1795</v>
      </c>
    </row>
    <row r="5">
      <c r="A5" s="25" t="s">
        <v>287</v>
      </c>
      <c r="B5" s="9" t="s">
        <v>461</v>
      </c>
      <c r="C5" s="21" t="s">
        <v>115</v>
      </c>
      <c r="D5" s="21" t="s">
        <v>463</v>
      </c>
      <c r="E5" s="21">
        <f>COUNTIFS('03_BR'!$B:$B,"Functional BR",'03_BR'!$G:$G,"*"&amp;$A5&amp;"*")</f>
        <v>1</v>
      </c>
      <c r="F5" s="21">
        <f>COUNTIFS('03_BR'!$B:$B,"Non-functional BR",'03_BR'!$G:$G,"*"&amp;$A5&amp;"*")</f>
        <v>2</v>
      </c>
      <c r="G5" s="21">
        <f>COUNTIFS('03_BR'!$B:$B,"Business Rule",'03_BR'!$G:$G,"*"&amp;$A5&amp;"*")</f>
        <v>2</v>
      </c>
      <c r="H5" s="21">
        <f>COUNTIFS('03_BR'!$B:$B,"Business Constraint",'03_BR'!$G:$G,"*"&amp;$A5&amp;"*")</f>
        <v>2</v>
      </c>
      <c r="I5" s="21">
        <f>COUNTIFS('03_BR'!$B:$B,"Business Goal",'03_BR'!$G:$G,"*"&amp;$A5&amp;"*")</f>
        <v>1</v>
      </c>
      <c r="J5" s="21">
        <f t="shared" ref="J5:J67" si="1">SUM(E5:I5)</f>
        <v>8</v>
      </c>
      <c r="K5" s="9" t="s">
        <v>1805</v>
      </c>
      <c r="L5" s="9" t="s">
        <v>1806</v>
      </c>
      <c r="M5" s="21">
        <f>COUNTIF('10_API'!$G:$G,A5)</f>
        <v>1</v>
      </c>
    </row>
    <row r="6">
      <c r="A6" s="25" t="s">
        <v>471</v>
      </c>
      <c r="B6" s="9" t="s">
        <v>1807</v>
      </c>
      <c r="C6" s="21" t="s">
        <v>115</v>
      </c>
      <c r="D6" s="21" t="s">
        <v>463</v>
      </c>
      <c r="E6" s="21">
        <f>COUNTIFS('03_BR'!$B:$B,"Functional BR",'03_BR'!$G:$G,"*"&amp;$A6&amp;"*")</f>
        <v>2</v>
      </c>
      <c r="F6" s="21">
        <f>COUNTIFS('03_BR'!$B:$B,"Non-functional BR",'03_BR'!$G:$G,"*"&amp;$A6&amp;"*")</f>
        <v>0</v>
      </c>
      <c r="G6" s="21">
        <f>COUNTIFS('03_BR'!$B:$B,"Business Rule",'03_BR'!$G:$G,"*"&amp;$A6&amp;"*")</f>
        <v>2</v>
      </c>
      <c r="H6" s="21">
        <f>COUNTIFS('03_BR'!$B:$B,"Business Constraint",'03_BR'!$G:$G,"*"&amp;$A6&amp;"*")</f>
        <v>0</v>
      </c>
      <c r="I6" s="21">
        <f>COUNTIFS('03_BR'!$B:$B,"Business Goal",'03_BR'!$G:$G,"*"&amp;$A6&amp;"*")</f>
        <v>0</v>
      </c>
      <c r="J6" s="21">
        <f t="shared" si="1"/>
        <v>4</v>
      </c>
      <c r="K6" s="9" t="s">
        <v>1812</v>
      </c>
      <c r="L6" s="9" t="s">
        <v>1813</v>
      </c>
      <c r="M6" s="21">
        <f>COUNTIF('10_API'!$G:$G,A6)</f>
        <v>2</v>
      </c>
    </row>
    <row r="7">
      <c r="A7" s="25" t="s">
        <v>476</v>
      </c>
      <c r="B7" s="9" t="s">
        <v>1814</v>
      </c>
      <c r="C7" s="21" t="s">
        <v>115</v>
      </c>
      <c r="D7" s="21" t="s">
        <v>463</v>
      </c>
      <c r="E7" s="21">
        <f>COUNTIFS('03_BR'!$B:$B,"Functional BR",'03_BR'!$G:$G,"*"&amp;$A7&amp;"*")</f>
        <v>2</v>
      </c>
      <c r="F7" s="21">
        <f>COUNTIFS('03_BR'!$B:$B,"Non-functional BR",'03_BR'!$G:$G,"*"&amp;$A7&amp;"*")</f>
        <v>1</v>
      </c>
      <c r="G7" s="21">
        <f>COUNTIFS('03_BR'!$B:$B,"Business Rule",'03_BR'!$G:$G,"*"&amp;$A7&amp;"*")</f>
        <v>3</v>
      </c>
      <c r="H7" s="21">
        <f>COUNTIFS('03_BR'!$B:$B,"Business Constraint",'03_BR'!$G:$G,"*"&amp;$A7&amp;"*")</f>
        <v>1</v>
      </c>
      <c r="I7" s="21">
        <f>COUNTIFS('03_BR'!$B:$B,"Business Goal",'03_BR'!$G:$G,"*"&amp;$A7&amp;"*")</f>
        <v>0</v>
      </c>
      <c r="J7" s="21">
        <f t="shared" si="1"/>
        <v>7</v>
      </c>
      <c r="K7" s="9" t="s">
        <v>1819</v>
      </c>
      <c r="L7" s="9" t="s">
        <v>1820</v>
      </c>
      <c r="M7" s="21">
        <f>COUNTIF('10_API'!$G:$G,A7)</f>
        <v>3</v>
      </c>
    </row>
    <row r="8">
      <c r="A8" s="25" t="s">
        <v>488</v>
      </c>
      <c r="B8" s="9" t="s">
        <v>1821</v>
      </c>
      <c r="C8" s="21" t="s">
        <v>115</v>
      </c>
      <c r="D8" s="21" t="s">
        <v>463</v>
      </c>
      <c r="E8" s="21">
        <f>COUNTIFS('03_BR'!$B:$B,"Functional BR",'03_BR'!$G:$G,"*"&amp;$A8&amp;"*")</f>
        <v>1</v>
      </c>
      <c r="F8" s="21">
        <f>COUNTIFS('03_BR'!$B:$B,"Non-functional BR",'03_BR'!$G:$G,"*"&amp;$A8&amp;"*")</f>
        <v>0</v>
      </c>
      <c r="G8" s="21">
        <f>COUNTIFS('03_BR'!$B:$B,"Business Rule",'03_BR'!$G:$G,"*"&amp;$A8&amp;"*")</f>
        <v>2</v>
      </c>
      <c r="H8" s="21">
        <f>COUNTIFS('03_BR'!$B:$B,"Business Constraint",'03_BR'!$G:$G,"*"&amp;$A8&amp;"*")</f>
        <v>0</v>
      </c>
      <c r="I8" s="21">
        <f>COUNTIFS('03_BR'!$B:$B,"Business Goal",'03_BR'!$G:$G,"*"&amp;$A8&amp;"*")</f>
        <v>0</v>
      </c>
      <c r="J8" s="21">
        <f t="shared" si="1"/>
        <v>3</v>
      </c>
      <c r="K8" s="9" t="s">
        <v>1826</v>
      </c>
      <c r="L8" s="9" t="s">
        <v>1827</v>
      </c>
      <c r="M8" s="21">
        <f>COUNTIF('10_API'!$G:$G,A8)</f>
        <v>3</v>
      </c>
    </row>
    <row r="9">
      <c r="A9" s="25" t="s">
        <v>493</v>
      </c>
      <c r="B9" s="9" t="s">
        <v>491</v>
      </c>
      <c r="C9" s="21" t="s">
        <v>115</v>
      </c>
      <c r="D9" s="21" t="s">
        <v>463</v>
      </c>
      <c r="E9" s="21">
        <f>COUNTIFS('03_BR'!$B:$B,"Functional BR",'03_BR'!$G:$G,"*"&amp;$A9&amp;"*")</f>
        <v>1</v>
      </c>
      <c r="F9" s="21">
        <f>COUNTIFS('03_BR'!$B:$B,"Non-functional BR",'03_BR'!$G:$G,"*"&amp;$A9&amp;"*")</f>
        <v>1</v>
      </c>
      <c r="G9" s="21">
        <f>COUNTIFS('03_BR'!$B:$B,"Business Rule",'03_BR'!$G:$G,"*"&amp;$A9&amp;"*")</f>
        <v>2</v>
      </c>
      <c r="H9" s="21">
        <f>COUNTIFS('03_BR'!$B:$B,"Business Constraint",'03_BR'!$G:$G,"*"&amp;$A9&amp;"*")</f>
        <v>0</v>
      </c>
      <c r="I9" s="21">
        <f>COUNTIFS('03_BR'!$B:$B,"Business Goal",'03_BR'!$G:$G,"*"&amp;$A9&amp;"*")</f>
        <v>0</v>
      </c>
      <c r="J9" s="21">
        <f t="shared" si="1"/>
        <v>4</v>
      </c>
      <c r="K9" s="9" t="s">
        <v>1832</v>
      </c>
      <c r="L9" s="9" t="s">
        <v>1833</v>
      </c>
      <c r="M9" s="21">
        <f>COUNTIF('10_API'!$G:$G,A9)</f>
        <v>2</v>
      </c>
    </row>
    <row r="10">
      <c r="A10" s="25" t="s">
        <v>498</v>
      </c>
      <c r="B10" s="9" t="s">
        <v>496</v>
      </c>
      <c r="C10" s="21" t="s">
        <v>115</v>
      </c>
      <c r="D10" s="21" t="s">
        <v>463</v>
      </c>
      <c r="E10" s="21">
        <f>COUNTIFS('03_BR'!$B:$B,"Functional BR",'03_BR'!$G:$G,"*"&amp;$A10&amp;"*")</f>
        <v>1</v>
      </c>
      <c r="F10" s="21">
        <f>COUNTIFS('03_BR'!$B:$B,"Non-functional BR",'03_BR'!$G:$G,"*"&amp;$A10&amp;"*")</f>
        <v>1</v>
      </c>
      <c r="G10" s="21">
        <f>COUNTIFS('03_BR'!$B:$B,"Business Rule",'03_BR'!$G:$G,"*"&amp;$A10&amp;"*")</f>
        <v>1</v>
      </c>
      <c r="H10" s="21">
        <f>COUNTIFS('03_BR'!$B:$B,"Business Constraint",'03_BR'!$G:$G,"*"&amp;$A10&amp;"*")</f>
        <v>0</v>
      </c>
      <c r="I10" s="21">
        <f>COUNTIFS('03_BR'!$B:$B,"Business Goal",'03_BR'!$G:$G,"*"&amp;$A10&amp;"*")</f>
        <v>0</v>
      </c>
      <c r="J10" s="21">
        <f t="shared" si="1"/>
        <v>3</v>
      </c>
      <c r="K10" s="9" t="s">
        <v>1837</v>
      </c>
      <c r="L10" s="9" t="s">
        <v>1827</v>
      </c>
      <c r="M10" s="21">
        <f>COUNTIF('10_API'!$G:$G,A10)</f>
        <v>1</v>
      </c>
    </row>
    <row r="11">
      <c r="A11" s="25" t="s">
        <v>360</v>
      </c>
      <c r="B11" s="9" t="s">
        <v>1838</v>
      </c>
      <c r="C11" s="21" t="s">
        <v>117</v>
      </c>
      <c r="D11" s="21" t="s">
        <v>463</v>
      </c>
      <c r="E11" s="21">
        <f>COUNTIFS('03_BR'!$B:$B,"Functional BR",'03_BR'!$G:$G,"*"&amp;$A11&amp;"*")</f>
        <v>4</v>
      </c>
      <c r="F11" s="21">
        <f>COUNTIFS('03_BR'!$B:$B,"Non-functional BR",'03_BR'!$G:$G,"*"&amp;$A11&amp;"*")</f>
        <v>1</v>
      </c>
      <c r="G11" s="21">
        <f>COUNTIFS('03_BR'!$B:$B,"Business Rule",'03_BR'!$G:$G,"*"&amp;$A11&amp;"*")</f>
        <v>1</v>
      </c>
      <c r="H11" s="21">
        <f>COUNTIFS('03_BR'!$B:$B,"Business Constraint",'03_BR'!$G:$G,"*"&amp;$A11&amp;"*")</f>
        <v>0</v>
      </c>
      <c r="I11" s="21">
        <f>COUNTIFS('03_BR'!$B:$B,"Business Goal",'03_BR'!$G:$G,"*"&amp;$A11&amp;"*")</f>
        <v>0</v>
      </c>
      <c r="J11" s="21">
        <f t="shared" si="1"/>
        <v>6</v>
      </c>
      <c r="K11" s="9" t="s">
        <v>1842</v>
      </c>
      <c r="L11" s="9" t="s">
        <v>1843</v>
      </c>
      <c r="M11" s="21">
        <f>COUNTIF('10_API'!$G:$G,A11)</f>
        <v>9</v>
      </c>
    </row>
    <row r="12">
      <c r="A12" s="25" t="s">
        <v>363</v>
      </c>
      <c r="B12" s="9" t="s">
        <v>1844</v>
      </c>
      <c r="C12" s="21" t="s">
        <v>117</v>
      </c>
      <c r="D12" s="21" t="s">
        <v>463</v>
      </c>
      <c r="E12" s="21">
        <f>COUNTIFS('03_BR'!$B:$B,"Functional BR",'03_BR'!$G:$G,"*"&amp;$A12&amp;"*")</f>
        <v>2</v>
      </c>
      <c r="F12" s="21">
        <f>COUNTIFS('03_BR'!$B:$B,"Non-functional BR",'03_BR'!$G:$G,"*"&amp;$A12&amp;"*")</f>
        <v>2</v>
      </c>
      <c r="G12" s="21">
        <f>COUNTIFS('03_BR'!$B:$B,"Business Rule",'03_BR'!$G:$G,"*"&amp;$A12&amp;"*")</f>
        <v>2</v>
      </c>
      <c r="H12" s="21">
        <f>COUNTIFS('03_BR'!$B:$B,"Business Constraint",'03_BR'!$G:$G,"*"&amp;$A12&amp;"*")</f>
        <v>1</v>
      </c>
      <c r="I12" s="21">
        <f>COUNTIFS('03_BR'!$B:$B,"Business Goal",'03_BR'!$G:$G,"*"&amp;$A12&amp;"*")</f>
        <v>1</v>
      </c>
      <c r="J12" s="21">
        <f t="shared" si="1"/>
        <v>8</v>
      </c>
      <c r="K12" s="9" t="s">
        <v>1849</v>
      </c>
      <c r="L12" s="9" t="s">
        <v>1850</v>
      </c>
      <c r="M12" s="21">
        <f>COUNTIF('10_API'!$G:$G,A12)</f>
        <v>2</v>
      </c>
    </row>
    <row r="13">
      <c r="A13" s="25" t="s">
        <v>365</v>
      </c>
      <c r="B13" s="9" t="s">
        <v>1851</v>
      </c>
      <c r="C13" s="21" t="s">
        <v>117</v>
      </c>
      <c r="D13" s="21" t="s">
        <v>463</v>
      </c>
      <c r="E13" s="21">
        <f>COUNTIFS('03_BR'!$B:$B,"Functional BR",'03_BR'!$G:$G,"*"&amp;$A13&amp;"*")</f>
        <v>1</v>
      </c>
      <c r="F13" s="21">
        <f>COUNTIFS('03_BR'!$B:$B,"Non-functional BR",'03_BR'!$G:$G,"*"&amp;$A13&amp;"*")</f>
        <v>0</v>
      </c>
      <c r="G13" s="21">
        <f>COUNTIFS('03_BR'!$B:$B,"Business Rule",'03_BR'!$G:$G,"*"&amp;$A13&amp;"*")</f>
        <v>4</v>
      </c>
      <c r="H13" s="21">
        <f>COUNTIFS('03_BR'!$B:$B,"Business Constraint",'03_BR'!$G:$G,"*"&amp;$A13&amp;"*")</f>
        <v>0</v>
      </c>
      <c r="I13" s="21">
        <f>COUNTIFS('03_BR'!$B:$B,"Business Goal",'03_BR'!$G:$G,"*"&amp;$A13&amp;"*")</f>
        <v>0</v>
      </c>
      <c r="J13" s="21">
        <f t="shared" si="1"/>
        <v>5</v>
      </c>
      <c r="K13" s="9" t="s">
        <v>1856</v>
      </c>
      <c r="L13" s="9" t="s">
        <v>1857</v>
      </c>
      <c r="M13" s="21">
        <f>COUNTIF('10_API'!$G:$G,A13)</f>
        <v>4</v>
      </c>
    </row>
    <row r="14">
      <c r="A14" s="25" t="s">
        <v>367</v>
      </c>
      <c r="B14" s="9" t="s">
        <v>366</v>
      </c>
      <c r="C14" s="21" t="s">
        <v>117</v>
      </c>
      <c r="D14" s="21" t="s">
        <v>463</v>
      </c>
      <c r="E14" s="21">
        <f>COUNTIFS('03_BR'!$B:$B,"Functional BR",'03_BR'!$G:$G,"*"&amp;$A14&amp;"*")</f>
        <v>2</v>
      </c>
      <c r="F14" s="21">
        <f>COUNTIFS('03_BR'!$B:$B,"Non-functional BR",'03_BR'!$G:$G,"*"&amp;$A14&amp;"*")</f>
        <v>0</v>
      </c>
      <c r="G14" s="21">
        <f>COUNTIFS('03_BR'!$B:$B,"Business Rule",'03_BR'!$G:$G,"*"&amp;$A14&amp;"*")</f>
        <v>1</v>
      </c>
      <c r="H14" s="21">
        <f>COUNTIFS('03_BR'!$B:$B,"Business Constraint",'03_BR'!$G:$G,"*"&amp;$A14&amp;"*")</f>
        <v>1</v>
      </c>
      <c r="I14" s="21">
        <f>COUNTIFS('03_BR'!$B:$B,"Business Goal",'03_BR'!$G:$G,"*"&amp;$A14&amp;"*")</f>
        <v>1</v>
      </c>
      <c r="J14" s="21">
        <f t="shared" si="1"/>
        <v>5</v>
      </c>
      <c r="K14" s="9" t="s">
        <v>1862</v>
      </c>
      <c r="L14" s="9" t="s">
        <v>1863</v>
      </c>
      <c r="M14" s="21">
        <f>COUNTIF('10_API'!$G:$G,A14)</f>
        <v>1</v>
      </c>
    </row>
    <row r="15">
      <c r="A15" s="25" t="s">
        <v>354</v>
      </c>
      <c r="B15" s="9" t="s">
        <v>1864</v>
      </c>
      <c r="C15" s="21" t="s">
        <v>119</v>
      </c>
      <c r="D15" s="21" t="s">
        <v>463</v>
      </c>
      <c r="E15" s="21">
        <f>COUNTIFS('03_BR'!$B:$B,"Functional BR",'03_BR'!$G:$G,"*"&amp;$A15&amp;"*")</f>
        <v>5</v>
      </c>
      <c r="F15" s="21">
        <f>COUNTIFS('03_BR'!$B:$B,"Non-functional BR",'03_BR'!$G:$G,"*"&amp;$A15&amp;"*")</f>
        <v>1</v>
      </c>
      <c r="G15" s="21">
        <f>COUNTIFS('03_BR'!$B:$B,"Business Rule",'03_BR'!$G:$G,"*"&amp;$A15&amp;"*")</f>
        <v>5</v>
      </c>
      <c r="H15" s="21">
        <f>COUNTIFS('03_BR'!$B:$B,"Business Constraint",'03_BR'!$G:$G,"*"&amp;$A15&amp;"*")</f>
        <v>1</v>
      </c>
      <c r="I15" s="21">
        <f>COUNTIFS('03_BR'!$B:$B,"Business Goal",'03_BR'!$G:$G,"*"&amp;$A15&amp;"*")</f>
        <v>1</v>
      </c>
      <c r="J15" s="21">
        <f t="shared" si="1"/>
        <v>13</v>
      </c>
      <c r="K15" s="9" t="s">
        <v>1870</v>
      </c>
      <c r="L15" s="9" t="s">
        <v>1871</v>
      </c>
      <c r="M15" s="21">
        <f>COUNTIF('10_API'!$G:$G,A15)</f>
        <v>2</v>
      </c>
    </row>
    <row r="16">
      <c r="A16" s="25" t="s">
        <v>536</v>
      </c>
      <c r="B16" s="9" t="s">
        <v>1872</v>
      </c>
      <c r="C16" s="21" t="s">
        <v>119</v>
      </c>
      <c r="D16" s="21" t="s">
        <v>463</v>
      </c>
      <c r="E16" s="21">
        <f>COUNTIFS('03_BR'!$B:$B,"Functional BR",'03_BR'!$G:$G,"*"&amp;$A16&amp;"*")</f>
        <v>10</v>
      </c>
      <c r="F16" s="21">
        <f>COUNTIFS('03_BR'!$B:$B,"Non-functional BR",'03_BR'!$G:$G,"*"&amp;$A16&amp;"*")</f>
        <v>4</v>
      </c>
      <c r="G16" s="21">
        <f>COUNTIFS('03_BR'!$B:$B,"Business Rule",'03_BR'!$G:$G,"*"&amp;$A16&amp;"*")</f>
        <v>10</v>
      </c>
      <c r="H16" s="21">
        <f>COUNTIFS('03_BR'!$B:$B,"Business Constraint",'03_BR'!$G:$G,"*"&amp;$A16&amp;"*")</f>
        <v>2</v>
      </c>
      <c r="I16" s="21">
        <f>COUNTIFS('03_BR'!$B:$B,"Business Goal",'03_BR'!$G:$G,"*"&amp;$A16&amp;"*")</f>
        <v>1</v>
      </c>
      <c r="J16" s="21">
        <f t="shared" si="1"/>
        <v>27</v>
      </c>
      <c r="K16" s="9" t="s">
        <v>1877</v>
      </c>
      <c r="L16" s="9" t="s">
        <v>1878</v>
      </c>
      <c r="M16" s="21">
        <f>COUNTIF('10_API'!$G:$G,A16)</f>
        <v>6</v>
      </c>
    </row>
    <row r="17">
      <c r="A17" s="25" t="s">
        <v>373</v>
      </c>
      <c r="B17" s="9" t="s">
        <v>1879</v>
      </c>
      <c r="C17" s="21" t="s">
        <v>119</v>
      </c>
      <c r="D17" s="21" t="s">
        <v>463</v>
      </c>
      <c r="E17" s="21">
        <f>COUNTIFS('03_BR'!$B:$B,"Functional BR",'03_BR'!$G:$G,"*"&amp;$A17&amp;"*")</f>
        <v>4</v>
      </c>
      <c r="F17" s="21">
        <f>COUNTIFS('03_BR'!$B:$B,"Non-functional BR",'03_BR'!$G:$G,"*"&amp;$A17&amp;"*")</f>
        <v>3</v>
      </c>
      <c r="G17" s="21">
        <f>COUNTIFS('03_BR'!$B:$B,"Business Rule",'03_BR'!$G:$G,"*"&amp;$A17&amp;"*")</f>
        <v>2</v>
      </c>
      <c r="H17" s="21">
        <f>COUNTIFS('03_BR'!$B:$B,"Business Constraint",'03_BR'!$G:$G,"*"&amp;$A17&amp;"*")</f>
        <v>0</v>
      </c>
      <c r="I17" s="21">
        <f>COUNTIFS('03_BR'!$B:$B,"Business Goal",'03_BR'!$G:$G,"*"&amp;$A17&amp;"*")</f>
        <v>0</v>
      </c>
      <c r="J17" s="21">
        <f t="shared" si="1"/>
        <v>9</v>
      </c>
      <c r="K17" s="9" t="s">
        <v>1883</v>
      </c>
      <c r="L17" s="9" t="s">
        <v>1884</v>
      </c>
      <c r="M17" s="21">
        <f>COUNTIF('10_API'!$G:$G,A17)</f>
        <v>3</v>
      </c>
    </row>
    <row r="18">
      <c r="A18" s="25" t="s">
        <v>571</v>
      </c>
      <c r="B18" s="9" t="s">
        <v>569</v>
      </c>
      <c r="C18" s="21" t="s">
        <v>119</v>
      </c>
      <c r="D18" s="21" t="s">
        <v>463</v>
      </c>
      <c r="E18" s="21">
        <f>COUNTIFS('03_BR'!$B:$B,"Functional BR",'03_BR'!$G:$G,"*"&amp;$A18&amp;"*")</f>
        <v>1</v>
      </c>
      <c r="F18" s="21">
        <f>COUNTIFS('03_BR'!$B:$B,"Non-functional BR",'03_BR'!$G:$G,"*"&amp;$A18&amp;"*")</f>
        <v>0</v>
      </c>
      <c r="G18" s="21">
        <f>COUNTIFS('03_BR'!$B:$B,"Business Rule",'03_BR'!$G:$G,"*"&amp;$A18&amp;"*")</f>
        <v>2</v>
      </c>
      <c r="H18" s="21">
        <f>COUNTIFS('03_BR'!$B:$B,"Business Constraint",'03_BR'!$G:$G,"*"&amp;$A18&amp;"*")</f>
        <v>0</v>
      </c>
      <c r="I18" s="21">
        <f>COUNTIFS('03_BR'!$B:$B,"Business Goal",'03_BR'!$G:$G,"*"&amp;$A18&amp;"*")</f>
        <v>0</v>
      </c>
      <c r="J18" s="21">
        <f t="shared" si="1"/>
        <v>3</v>
      </c>
      <c r="K18" s="9" t="s">
        <v>1889</v>
      </c>
      <c r="L18" s="9" t="s">
        <v>1890</v>
      </c>
      <c r="M18" s="21">
        <f>COUNTIF('10_API'!$G:$G,A18)</f>
        <v>1</v>
      </c>
    </row>
    <row r="19">
      <c r="A19" s="25" t="s">
        <v>371</v>
      </c>
      <c r="B19" s="9" t="s">
        <v>370</v>
      </c>
      <c r="C19" s="21" t="s">
        <v>119</v>
      </c>
      <c r="D19" s="21" t="s">
        <v>463</v>
      </c>
      <c r="E19" s="21">
        <f>COUNTIFS('03_BR'!$B:$B,"Functional BR",'03_BR'!$G:$G,"*"&amp;$A19&amp;"*")</f>
        <v>1</v>
      </c>
      <c r="F19" s="21">
        <f>COUNTIFS('03_BR'!$B:$B,"Non-functional BR",'03_BR'!$G:$G,"*"&amp;$A19&amp;"*")</f>
        <v>0</v>
      </c>
      <c r="G19" s="21">
        <f>COUNTIFS('03_BR'!$B:$B,"Business Rule",'03_BR'!$G:$G,"*"&amp;$A19&amp;"*")</f>
        <v>2</v>
      </c>
      <c r="H19" s="21">
        <f>COUNTIFS('03_BR'!$B:$B,"Business Constraint",'03_BR'!$G:$G,"*"&amp;$A19&amp;"*")</f>
        <v>0</v>
      </c>
      <c r="I19" s="21">
        <f>COUNTIFS('03_BR'!$B:$B,"Business Goal",'03_BR'!$G:$G,"*"&amp;$A19&amp;"*")</f>
        <v>0</v>
      </c>
      <c r="J19" s="21">
        <f t="shared" si="1"/>
        <v>3</v>
      </c>
      <c r="K19" s="9" t="s">
        <v>1895</v>
      </c>
      <c r="L19" s="9"/>
      <c r="M19" s="21">
        <f>COUNTIF('10_API'!$G:$G,A19)</f>
        <v>1</v>
      </c>
    </row>
    <row r="20">
      <c r="A20" s="25" t="s">
        <v>375</v>
      </c>
      <c r="B20" s="9" t="s">
        <v>1896</v>
      </c>
      <c r="C20" s="21" t="s">
        <v>121</v>
      </c>
      <c r="D20" s="21" t="s">
        <v>463</v>
      </c>
      <c r="E20" s="21">
        <f>COUNTIFS('03_BR'!$B:$B,"Functional BR",'03_BR'!$G:$G,"*"&amp;$A20&amp;"*")</f>
        <v>4</v>
      </c>
      <c r="F20" s="21">
        <f>COUNTIFS('03_BR'!$B:$B,"Non-functional BR",'03_BR'!$G:$G,"*"&amp;$A20&amp;"*")</f>
        <v>3</v>
      </c>
      <c r="G20" s="21">
        <f>COUNTIFS('03_BR'!$B:$B,"Business Rule",'03_BR'!$G:$G,"*"&amp;$A20&amp;"*")</f>
        <v>2</v>
      </c>
      <c r="H20" s="21">
        <f>COUNTIFS('03_BR'!$B:$B,"Business Constraint",'03_BR'!$G:$G,"*"&amp;$A20&amp;"*")</f>
        <v>0</v>
      </c>
      <c r="I20" s="21">
        <f>COUNTIFS('03_BR'!$B:$B,"Business Goal",'03_BR'!$G:$G,"*"&amp;$A20&amp;"*")</f>
        <v>1</v>
      </c>
      <c r="J20" s="21">
        <f t="shared" si="1"/>
        <v>10</v>
      </c>
      <c r="K20" s="9" t="s">
        <v>1901</v>
      </c>
      <c r="L20" s="9" t="s">
        <v>1902</v>
      </c>
      <c r="M20" s="21">
        <f>COUNTIF('10_API'!$G:$G,A20)</f>
        <v>4</v>
      </c>
    </row>
    <row r="21" ht="15.75" customHeight="1">
      <c r="A21" s="25" t="s">
        <v>595</v>
      </c>
      <c r="B21" s="9" t="s">
        <v>1903</v>
      </c>
      <c r="C21" s="21" t="s">
        <v>121</v>
      </c>
      <c r="D21" s="21" t="s">
        <v>463</v>
      </c>
      <c r="E21" s="21">
        <f>COUNTIFS('03_BR'!$B:$B,"Functional BR",'03_BR'!$G:$G,"*"&amp;$A21&amp;"*")</f>
        <v>1</v>
      </c>
      <c r="F21" s="21">
        <f>COUNTIFS('03_BR'!$B:$B,"Non-functional BR",'03_BR'!$G:$G,"*"&amp;$A21&amp;"*")</f>
        <v>1</v>
      </c>
      <c r="G21" s="21">
        <f>COUNTIFS('03_BR'!$B:$B,"Business Rule",'03_BR'!$G:$G,"*"&amp;$A21&amp;"*")</f>
        <v>5</v>
      </c>
      <c r="H21" s="21">
        <f>COUNTIFS('03_BR'!$B:$B,"Business Constraint",'03_BR'!$G:$G,"*"&amp;$A21&amp;"*")</f>
        <v>0</v>
      </c>
      <c r="I21" s="21">
        <f>COUNTIFS('03_BR'!$B:$B,"Business Goal",'03_BR'!$G:$G,"*"&amp;$A21&amp;"*")</f>
        <v>1</v>
      </c>
      <c r="J21" s="21">
        <f t="shared" si="1"/>
        <v>8</v>
      </c>
      <c r="K21" s="9" t="s">
        <v>1908</v>
      </c>
      <c r="L21" s="9" t="s">
        <v>1909</v>
      </c>
      <c r="M21" s="21">
        <f>COUNTIF('10_API'!$G:$G,A21)</f>
        <v>1</v>
      </c>
    </row>
    <row r="22" ht="15.75" customHeight="1">
      <c r="A22" s="25" t="s">
        <v>600</v>
      </c>
      <c r="B22" s="9" t="s">
        <v>598</v>
      </c>
      <c r="C22" s="21" t="s">
        <v>121</v>
      </c>
      <c r="D22" s="21" t="s">
        <v>463</v>
      </c>
      <c r="E22" s="21">
        <f>COUNTIFS('03_BR'!$B:$B,"Functional BR",'03_BR'!$G:$G,"*"&amp;$A22&amp;"*")</f>
        <v>1</v>
      </c>
      <c r="F22" s="21">
        <f>COUNTIFS('03_BR'!$B:$B,"Non-functional BR",'03_BR'!$G:$G,"*"&amp;$A22&amp;"*")</f>
        <v>1</v>
      </c>
      <c r="G22" s="21">
        <f>COUNTIFS('03_BR'!$B:$B,"Business Rule",'03_BR'!$G:$G,"*"&amp;$A22&amp;"*")</f>
        <v>5</v>
      </c>
      <c r="H22" s="21">
        <f>COUNTIFS('03_BR'!$B:$B,"Business Constraint",'03_BR'!$G:$G,"*"&amp;$A22&amp;"*")</f>
        <v>0</v>
      </c>
      <c r="I22" s="21">
        <f>COUNTIFS('03_BR'!$B:$B,"Business Goal",'03_BR'!$G:$G,"*"&amp;$A22&amp;"*")</f>
        <v>1</v>
      </c>
      <c r="J22" s="21">
        <f t="shared" si="1"/>
        <v>8</v>
      </c>
      <c r="K22" s="9" t="s">
        <v>1914</v>
      </c>
      <c r="L22" s="9" t="s">
        <v>1909</v>
      </c>
      <c r="M22" s="21">
        <f>COUNTIF('10_API'!$G:$G,A22)</f>
        <v>3</v>
      </c>
    </row>
    <row r="23" ht="15.75" customHeight="1">
      <c r="A23" s="25" t="s">
        <v>610</v>
      </c>
      <c r="B23" s="9" t="s">
        <v>1915</v>
      </c>
      <c r="C23" s="21" t="s">
        <v>121</v>
      </c>
      <c r="D23" s="21" t="s">
        <v>463</v>
      </c>
      <c r="E23" s="21">
        <f>COUNTIFS('03_BR'!$B:$B,"Functional BR",'03_BR'!$G:$G,"*"&amp;$A23&amp;"*")</f>
        <v>4</v>
      </c>
      <c r="F23" s="21">
        <f>COUNTIFS('03_BR'!$B:$B,"Non-functional BR",'03_BR'!$G:$G,"*"&amp;$A23&amp;"*")</f>
        <v>0</v>
      </c>
      <c r="G23" s="21">
        <f>COUNTIFS('03_BR'!$B:$B,"Business Rule",'03_BR'!$G:$G,"*"&amp;$A23&amp;"*")</f>
        <v>4</v>
      </c>
      <c r="H23" s="21">
        <f>COUNTIFS('03_BR'!$B:$B,"Business Constraint",'03_BR'!$G:$G,"*"&amp;$A23&amp;"*")</f>
        <v>0</v>
      </c>
      <c r="I23" s="21">
        <f>COUNTIFS('03_BR'!$B:$B,"Business Goal",'03_BR'!$G:$G,"*"&amp;$A23&amp;"*")</f>
        <v>0</v>
      </c>
      <c r="J23" s="21">
        <f t="shared" si="1"/>
        <v>8</v>
      </c>
      <c r="K23" s="9" t="s">
        <v>1920</v>
      </c>
      <c r="L23" s="9" t="s">
        <v>1921</v>
      </c>
      <c r="M23" s="21">
        <f>COUNTIF('10_API'!$G:$G,A23)</f>
        <v>4</v>
      </c>
    </row>
    <row r="24" ht="15.75" customHeight="1">
      <c r="A24" s="25" t="s">
        <v>615</v>
      </c>
      <c r="B24" s="9" t="s">
        <v>1922</v>
      </c>
      <c r="C24" s="21" t="s">
        <v>121</v>
      </c>
      <c r="D24" s="21" t="s">
        <v>482</v>
      </c>
      <c r="E24" s="21">
        <f>COUNTIFS('03_BR'!$B:$B,"Functional BR",'03_BR'!$G:$G,"*"&amp;$A24&amp;"*")</f>
        <v>2</v>
      </c>
      <c r="F24" s="21">
        <f>COUNTIFS('03_BR'!$B:$B,"Non-functional BR",'03_BR'!$G:$G,"*"&amp;$A24&amp;"*")</f>
        <v>0</v>
      </c>
      <c r="G24" s="21">
        <f>COUNTIFS('03_BR'!$B:$B,"Business Rule",'03_BR'!$G:$G,"*"&amp;$A24&amp;"*")</f>
        <v>0</v>
      </c>
      <c r="H24" s="21">
        <f>COUNTIFS('03_BR'!$B:$B,"Business Constraint",'03_BR'!$G:$G,"*"&amp;$A24&amp;"*")</f>
        <v>0</v>
      </c>
      <c r="I24" s="21">
        <f>COUNTIFS('03_BR'!$B:$B,"Business Goal",'03_BR'!$G:$G,"*"&amp;$A24&amp;"*")</f>
        <v>0</v>
      </c>
      <c r="J24" s="21">
        <f t="shared" si="1"/>
        <v>2</v>
      </c>
      <c r="K24" s="9" t="s">
        <v>1927</v>
      </c>
      <c r="L24" s="9"/>
      <c r="M24" s="21">
        <f>COUNTIF('10_API'!$G:$G,A24)</f>
        <v>2</v>
      </c>
    </row>
    <row r="25" ht="15.75" customHeight="1">
      <c r="A25" s="25" t="s">
        <v>381</v>
      </c>
      <c r="B25" s="9" t="s">
        <v>380</v>
      </c>
      <c r="C25" s="21" t="s">
        <v>121</v>
      </c>
      <c r="D25" s="21" t="s">
        <v>556</v>
      </c>
      <c r="E25" s="21">
        <f>COUNTIFS('03_BR'!$B:$B,"Functional BR",'03_BR'!$G:$G,"*"&amp;$A25&amp;"*")</f>
        <v>2</v>
      </c>
      <c r="F25" s="21">
        <f>COUNTIFS('03_BR'!$B:$B,"Non-functional BR",'03_BR'!$G:$G,"*"&amp;$A25&amp;"*")</f>
        <v>1</v>
      </c>
      <c r="G25" s="21">
        <f>COUNTIFS('03_BR'!$B:$B,"Business Rule",'03_BR'!$G:$G,"*"&amp;$A25&amp;"*")</f>
        <v>1</v>
      </c>
      <c r="H25" s="21">
        <f>COUNTIFS('03_BR'!$B:$B,"Business Constraint",'03_BR'!$G:$G,"*"&amp;$A25&amp;"*")</f>
        <v>0</v>
      </c>
      <c r="I25" s="21">
        <f>COUNTIFS('03_BR'!$B:$B,"Business Goal",'03_BR'!$G:$G,"*"&amp;$A25&amp;"*")</f>
        <v>1</v>
      </c>
      <c r="J25" s="21">
        <f t="shared" si="1"/>
        <v>5</v>
      </c>
      <c r="K25" s="9" t="s">
        <v>1933</v>
      </c>
      <c r="L25" s="9" t="s">
        <v>1934</v>
      </c>
      <c r="M25" s="21">
        <f>COUNTIF('10_API'!$G:$G,A25)</f>
        <v>2</v>
      </c>
    </row>
    <row r="26" ht="15.75" customHeight="1">
      <c r="A26" s="25" t="s">
        <v>628</v>
      </c>
      <c r="B26" s="9" t="s">
        <v>626</v>
      </c>
      <c r="C26" s="21" t="s">
        <v>123</v>
      </c>
      <c r="D26" s="21" t="s">
        <v>556</v>
      </c>
      <c r="E26" s="21">
        <f>COUNTIFS('03_BR'!$B:$B,"Functional BR",'03_BR'!$G:$G,"*"&amp;$A26&amp;"*")</f>
        <v>3</v>
      </c>
      <c r="F26" s="21">
        <f>COUNTIFS('03_BR'!$B:$B,"Non-functional BR",'03_BR'!$G:$G,"*"&amp;$A26&amp;"*")</f>
        <v>0</v>
      </c>
      <c r="G26" s="21">
        <f>COUNTIFS('03_BR'!$B:$B,"Business Rule",'03_BR'!$G:$G,"*"&amp;$A26&amp;"*")</f>
        <v>1</v>
      </c>
      <c r="H26" s="21">
        <f>COUNTIFS('03_BR'!$B:$B,"Business Constraint",'03_BR'!$G:$G,"*"&amp;$A26&amp;"*")</f>
        <v>0</v>
      </c>
      <c r="I26" s="21">
        <f>COUNTIFS('03_BR'!$B:$B,"Business Goal",'03_BR'!$G:$G,"*"&amp;$A26&amp;"*")</f>
        <v>1</v>
      </c>
      <c r="J26" s="21">
        <f t="shared" si="1"/>
        <v>5</v>
      </c>
      <c r="K26" s="9" t="s">
        <v>1938</v>
      </c>
      <c r="L26" s="9" t="s">
        <v>1939</v>
      </c>
      <c r="M26" s="21">
        <f>COUNTIF('10_API'!$G:$G,A26)</f>
        <v>2</v>
      </c>
    </row>
    <row r="27" ht="15.75" customHeight="1">
      <c r="A27" s="25" t="s">
        <v>642</v>
      </c>
      <c r="B27" s="9" t="s">
        <v>640</v>
      </c>
      <c r="C27" s="21" t="s">
        <v>123</v>
      </c>
      <c r="D27" s="21" t="s">
        <v>556</v>
      </c>
      <c r="E27" s="21">
        <f>COUNTIFS('03_BR'!$B:$B,"Functional BR",'03_BR'!$G:$G,"*"&amp;$A27&amp;"*")</f>
        <v>2</v>
      </c>
      <c r="F27" s="21">
        <f>COUNTIFS('03_BR'!$B:$B,"Non-functional BR",'03_BR'!$G:$G,"*"&amp;$A27&amp;"*")</f>
        <v>0</v>
      </c>
      <c r="G27" s="21">
        <f>COUNTIFS('03_BR'!$B:$B,"Business Rule",'03_BR'!$G:$G,"*"&amp;$A27&amp;"*")</f>
        <v>1</v>
      </c>
      <c r="H27" s="21">
        <f>COUNTIFS('03_BR'!$B:$B,"Business Constraint",'03_BR'!$G:$G,"*"&amp;$A27&amp;"*")</f>
        <v>0</v>
      </c>
      <c r="I27" s="21">
        <f>COUNTIFS('03_BR'!$B:$B,"Business Goal",'03_BR'!$G:$G,"*"&amp;$A27&amp;"*")</f>
        <v>0</v>
      </c>
      <c r="J27" s="21">
        <f t="shared" si="1"/>
        <v>3</v>
      </c>
      <c r="K27" s="9" t="s">
        <v>1944</v>
      </c>
      <c r="L27" s="9" t="s">
        <v>1934</v>
      </c>
      <c r="M27" s="21">
        <f>COUNTIF('10_API'!$G:$G,A27)</f>
        <v>5</v>
      </c>
    </row>
    <row r="28" ht="15.75" customHeight="1">
      <c r="A28" s="25" t="s">
        <v>385</v>
      </c>
      <c r="B28" s="9" t="s">
        <v>384</v>
      </c>
      <c r="C28" s="21" t="s">
        <v>125</v>
      </c>
      <c r="D28" s="21" t="s">
        <v>463</v>
      </c>
      <c r="E28" s="21">
        <f>COUNTIFS('03_BR'!$B:$B,"Functional BR",'03_BR'!$G:$G,"*"&amp;$A28&amp;"*")</f>
        <v>5</v>
      </c>
      <c r="F28" s="21">
        <f>COUNTIFS('03_BR'!$B:$B,"Non-functional BR",'03_BR'!$G:$G,"*"&amp;$A28&amp;"*")</f>
        <v>1</v>
      </c>
      <c r="G28" s="21">
        <f>COUNTIFS('03_BR'!$B:$B,"Business Rule",'03_BR'!$G:$G,"*"&amp;$A28&amp;"*")</f>
        <v>2</v>
      </c>
      <c r="H28" s="21">
        <f>COUNTIFS('03_BR'!$B:$B,"Business Constraint",'03_BR'!$G:$G,"*"&amp;$A28&amp;"*")</f>
        <v>1</v>
      </c>
      <c r="I28" s="21">
        <f>COUNTIFS('03_BR'!$B:$B,"Business Goal",'03_BR'!$G:$G,"*"&amp;$A28&amp;"*")</f>
        <v>0</v>
      </c>
      <c r="J28" s="21">
        <f t="shared" si="1"/>
        <v>9</v>
      </c>
      <c r="K28" s="9" t="s">
        <v>1949</v>
      </c>
      <c r="L28" s="9" t="s">
        <v>1950</v>
      </c>
      <c r="M28" s="21">
        <f>COUNTIF('10_API'!$G:$G,A28)</f>
        <v>4</v>
      </c>
    </row>
    <row r="29" ht="15.75" customHeight="1">
      <c r="A29" s="25" t="s">
        <v>673</v>
      </c>
      <c r="B29" s="9" t="s">
        <v>1951</v>
      </c>
      <c r="C29" s="21" t="s">
        <v>127</v>
      </c>
      <c r="D29" s="21" t="s">
        <v>463</v>
      </c>
      <c r="E29" s="21">
        <f>COUNTIFS('03_BR'!$B:$B,"Functional BR",'03_BR'!$G:$G,"*"&amp;$A29&amp;"*")</f>
        <v>3</v>
      </c>
      <c r="F29" s="21">
        <f>COUNTIFS('03_BR'!$B:$B,"Non-functional BR",'03_BR'!$G:$G,"*"&amp;$A29&amp;"*")</f>
        <v>1</v>
      </c>
      <c r="G29" s="21">
        <f>COUNTIFS('03_BR'!$B:$B,"Business Rule",'03_BR'!$G:$G,"*"&amp;$A29&amp;"*")</f>
        <v>1</v>
      </c>
      <c r="H29" s="21">
        <f>COUNTIFS('03_BR'!$B:$B,"Business Constraint",'03_BR'!$G:$G,"*"&amp;$A29&amp;"*")</f>
        <v>0</v>
      </c>
      <c r="I29" s="21">
        <f>COUNTIFS('03_BR'!$B:$B,"Business Goal",'03_BR'!$G:$G,"*"&amp;$A29&amp;"*")</f>
        <v>1</v>
      </c>
      <c r="J29" s="21">
        <f t="shared" si="1"/>
        <v>6</v>
      </c>
      <c r="K29" s="9" t="s">
        <v>1956</v>
      </c>
      <c r="L29" s="9" t="s">
        <v>1957</v>
      </c>
      <c r="M29" s="21">
        <f>COUNTIF('10_API'!$G:$G,A29)</f>
        <v>2</v>
      </c>
    </row>
    <row r="30" ht="15.75" customHeight="1">
      <c r="A30" s="25" t="s">
        <v>682</v>
      </c>
      <c r="B30" s="9" t="s">
        <v>1958</v>
      </c>
      <c r="C30" s="21" t="s">
        <v>127</v>
      </c>
      <c r="D30" s="21" t="s">
        <v>463</v>
      </c>
      <c r="E30" s="21">
        <f>COUNTIFS('03_BR'!$B:$B,"Functional BR",'03_BR'!$G:$G,"*"&amp;$A30&amp;"*")</f>
        <v>3</v>
      </c>
      <c r="F30" s="21">
        <f>COUNTIFS('03_BR'!$B:$B,"Non-functional BR",'03_BR'!$G:$G,"*"&amp;$A30&amp;"*")</f>
        <v>1</v>
      </c>
      <c r="G30" s="21">
        <f>COUNTIFS('03_BR'!$B:$B,"Business Rule",'03_BR'!$G:$G,"*"&amp;$A30&amp;"*")</f>
        <v>1</v>
      </c>
      <c r="H30" s="21">
        <f>COUNTIFS('03_BR'!$B:$B,"Business Constraint",'03_BR'!$G:$G,"*"&amp;$A30&amp;"*")</f>
        <v>1</v>
      </c>
      <c r="I30" s="21">
        <f>COUNTIFS('03_BR'!$B:$B,"Business Goal",'03_BR'!$G:$G,"*"&amp;$A30&amp;"*")</f>
        <v>0</v>
      </c>
      <c r="J30" s="21">
        <f t="shared" si="1"/>
        <v>6</v>
      </c>
      <c r="K30" s="9" t="s">
        <v>1963</v>
      </c>
      <c r="L30" s="9" t="s">
        <v>1964</v>
      </c>
      <c r="M30" s="21">
        <f>COUNTIF('10_API'!$G:$G,A30)</f>
        <v>2</v>
      </c>
    </row>
    <row r="31" ht="15.75" customHeight="1">
      <c r="A31" s="25" t="s">
        <v>392</v>
      </c>
      <c r="B31" s="9" t="s">
        <v>391</v>
      </c>
      <c r="C31" s="21" t="s">
        <v>127</v>
      </c>
      <c r="D31" s="21" t="s">
        <v>463</v>
      </c>
      <c r="E31" s="21">
        <f>COUNTIFS('03_BR'!$B:$B,"Functional BR",'03_BR'!$G:$G,"*"&amp;$A31&amp;"*")</f>
        <v>5</v>
      </c>
      <c r="F31" s="21">
        <f>COUNTIFS('03_BR'!$B:$B,"Non-functional BR",'03_BR'!$G:$G,"*"&amp;$A31&amp;"*")</f>
        <v>2</v>
      </c>
      <c r="G31" s="21">
        <f>COUNTIFS('03_BR'!$B:$B,"Business Rule",'03_BR'!$G:$G,"*"&amp;$A31&amp;"*")</f>
        <v>1</v>
      </c>
      <c r="H31" s="21">
        <f>COUNTIFS('03_BR'!$B:$B,"Business Constraint",'03_BR'!$G:$G,"*"&amp;$A31&amp;"*")</f>
        <v>1</v>
      </c>
      <c r="I31" s="21">
        <f>COUNTIFS('03_BR'!$B:$B,"Business Goal",'03_BR'!$G:$G,"*"&amp;$A31&amp;"*")</f>
        <v>0</v>
      </c>
      <c r="J31" s="21">
        <f t="shared" si="1"/>
        <v>9</v>
      </c>
      <c r="K31" s="9" t="s">
        <v>1969</v>
      </c>
      <c r="L31" s="9" t="s">
        <v>1970</v>
      </c>
      <c r="M31" s="21">
        <f>COUNTIF('10_API'!$G:$G,A31)</f>
        <v>3</v>
      </c>
    </row>
    <row r="32" ht="15.75" customHeight="1">
      <c r="A32" s="25" t="s">
        <v>699</v>
      </c>
      <c r="B32" s="9" t="s">
        <v>1971</v>
      </c>
      <c r="C32" s="21" t="s">
        <v>127</v>
      </c>
      <c r="D32" s="21" t="s">
        <v>463</v>
      </c>
      <c r="E32" s="21">
        <f>COUNTIFS('03_BR'!$B:$B,"Functional BR",'03_BR'!$G:$G,"*"&amp;$A32&amp;"*")</f>
        <v>4</v>
      </c>
      <c r="F32" s="21">
        <f>COUNTIFS('03_BR'!$B:$B,"Non-functional BR",'03_BR'!$G:$G,"*"&amp;$A32&amp;"*")</f>
        <v>1</v>
      </c>
      <c r="G32" s="21">
        <f>COUNTIFS('03_BR'!$B:$B,"Business Rule",'03_BR'!$G:$G,"*"&amp;$A32&amp;"*")</f>
        <v>2</v>
      </c>
      <c r="H32" s="21">
        <f>COUNTIFS('03_BR'!$B:$B,"Business Constraint",'03_BR'!$G:$G,"*"&amp;$A32&amp;"*")</f>
        <v>0</v>
      </c>
      <c r="I32" s="21">
        <f>COUNTIFS('03_BR'!$B:$B,"Business Goal",'03_BR'!$G:$G,"*"&amp;$A32&amp;"*")</f>
        <v>2</v>
      </c>
      <c r="J32" s="21">
        <f t="shared" si="1"/>
        <v>9</v>
      </c>
      <c r="K32" s="9" t="s">
        <v>1976</v>
      </c>
      <c r="L32" s="9" t="s">
        <v>1964</v>
      </c>
      <c r="M32" s="21">
        <f>COUNTIF('10_API'!$G:$G,A32)</f>
        <v>3</v>
      </c>
    </row>
    <row r="33" ht="15.75" customHeight="1">
      <c r="A33" s="25" t="s">
        <v>708</v>
      </c>
      <c r="B33" s="9" t="s">
        <v>706</v>
      </c>
      <c r="C33" s="21" t="s">
        <v>127</v>
      </c>
      <c r="D33" s="21" t="s">
        <v>463</v>
      </c>
      <c r="E33" s="21">
        <f>COUNTIFS('03_BR'!$B:$B,"Functional BR",'03_BR'!$G:$G,"*"&amp;$A33&amp;"*")</f>
        <v>2</v>
      </c>
      <c r="F33" s="21">
        <f>COUNTIFS('03_BR'!$B:$B,"Non-functional BR",'03_BR'!$G:$G,"*"&amp;$A33&amp;"*")</f>
        <v>0</v>
      </c>
      <c r="G33" s="21">
        <f>COUNTIFS('03_BR'!$B:$B,"Business Rule",'03_BR'!$G:$G,"*"&amp;$A33&amp;"*")</f>
        <v>0</v>
      </c>
      <c r="H33" s="21">
        <f>COUNTIFS('03_BR'!$B:$B,"Business Constraint",'03_BR'!$G:$G,"*"&amp;$A33&amp;"*")</f>
        <v>0</v>
      </c>
      <c r="I33" s="21">
        <f>COUNTIFS('03_BR'!$B:$B,"Business Goal",'03_BR'!$G:$G,"*"&amp;$A33&amp;"*")</f>
        <v>0</v>
      </c>
      <c r="J33" s="21">
        <f t="shared" si="1"/>
        <v>2</v>
      </c>
      <c r="K33" s="9" t="s">
        <v>1982</v>
      </c>
      <c r="L33" s="9" t="s">
        <v>1964</v>
      </c>
      <c r="M33" s="21">
        <f>COUNTIF('10_API'!$G:$G,A33)</f>
        <v>2</v>
      </c>
    </row>
    <row r="34" ht="15.75" customHeight="1">
      <c r="A34" s="25" t="s">
        <v>713</v>
      </c>
      <c r="B34" s="9" t="s">
        <v>711</v>
      </c>
      <c r="C34" s="21" t="s">
        <v>127</v>
      </c>
      <c r="D34" s="21" t="s">
        <v>463</v>
      </c>
      <c r="E34" s="21">
        <f>COUNTIFS('03_BR'!$B:$B,"Functional BR",'03_BR'!$G:$G,"*"&amp;$A34&amp;"*")</f>
        <v>1</v>
      </c>
      <c r="F34" s="21">
        <f>COUNTIFS('03_BR'!$B:$B,"Non-functional BR",'03_BR'!$G:$G,"*"&amp;$A34&amp;"*")</f>
        <v>0</v>
      </c>
      <c r="G34" s="21">
        <f>COUNTIFS('03_BR'!$B:$B,"Business Rule",'03_BR'!$G:$G,"*"&amp;$A34&amp;"*")</f>
        <v>1</v>
      </c>
      <c r="H34" s="21">
        <f>COUNTIFS('03_BR'!$B:$B,"Business Constraint",'03_BR'!$G:$G,"*"&amp;$A34&amp;"*")</f>
        <v>0</v>
      </c>
      <c r="I34" s="21">
        <f>COUNTIFS('03_BR'!$B:$B,"Business Goal",'03_BR'!$G:$G,"*"&amp;$A34&amp;"*")</f>
        <v>0</v>
      </c>
      <c r="J34" s="21">
        <f t="shared" si="1"/>
        <v>2</v>
      </c>
      <c r="K34" s="9" t="s">
        <v>1987</v>
      </c>
      <c r="L34" s="9" t="s">
        <v>1957</v>
      </c>
      <c r="M34" s="21">
        <f>COUNTIF('10_API'!$G:$G,A34)</f>
        <v>2</v>
      </c>
    </row>
    <row r="35" ht="15.75" customHeight="1">
      <c r="A35" s="25" t="s">
        <v>723</v>
      </c>
      <c r="B35" s="9" t="s">
        <v>1988</v>
      </c>
      <c r="C35" s="21" t="s">
        <v>129</v>
      </c>
      <c r="D35" s="21" t="s">
        <v>482</v>
      </c>
      <c r="E35" s="21">
        <f>COUNTIFS('03_BR'!$B:$B,"Functional BR",'03_BR'!$G:$G,"*"&amp;$A35&amp;"*")</f>
        <v>2</v>
      </c>
      <c r="F35" s="21">
        <f>COUNTIFS('03_BR'!$B:$B,"Non-functional BR",'03_BR'!$G:$G,"*"&amp;$A35&amp;"*")</f>
        <v>0</v>
      </c>
      <c r="G35" s="21">
        <f>COUNTIFS('03_BR'!$B:$B,"Business Rule",'03_BR'!$G:$G,"*"&amp;$A35&amp;"*")</f>
        <v>1</v>
      </c>
      <c r="H35" s="21">
        <f>COUNTIFS('03_BR'!$B:$B,"Business Constraint",'03_BR'!$G:$G,"*"&amp;$A35&amp;"*")</f>
        <v>0</v>
      </c>
      <c r="I35" s="21">
        <f>COUNTIFS('03_BR'!$B:$B,"Business Goal",'03_BR'!$G:$G,"*"&amp;$A35&amp;"*")</f>
        <v>0</v>
      </c>
      <c r="J35" s="21">
        <f t="shared" si="1"/>
        <v>3</v>
      </c>
      <c r="K35" s="9" t="s">
        <v>1993</v>
      </c>
      <c r="L35" s="9" t="s">
        <v>1994</v>
      </c>
      <c r="M35" s="21">
        <f>COUNTIF('10_API'!$G:$G,A35)</f>
        <v>2</v>
      </c>
    </row>
    <row r="36" ht="15.75" customHeight="1">
      <c r="A36" s="25" t="s">
        <v>732</v>
      </c>
      <c r="B36" s="9" t="s">
        <v>1995</v>
      </c>
      <c r="C36" s="21" t="s">
        <v>129</v>
      </c>
      <c r="D36" s="21" t="s">
        <v>482</v>
      </c>
      <c r="E36" s="21">
        <f>COUNTIFS('03_BR'!$B:$B,"Functional BR",'03_BR'!$G:$G,"*"&amp;$A36&amp;"*")</f>
        <v>2</v>
      </c>
      <c r="F36" s="21">
        <f>COUNTIFS('03_BR'!$B:$B,"Non-functional BR",'03_BR'!$G:$G,"*"&amp;$A36&amp;"*")</f>
        <v>0</v>
      </c>
      <c r="G36" s="21">
        <f>COUNTIFS('03_BR'!$B:$B,"Business Rule",'03_BR'!$G:$G,"*"&amp;$A36&amp;"*")</f>
        <v>1</v>
      </c>
      <c r="H36" s="21">
        <f>COUNTIFS('03_BR'!$B:$B,"Business Constraint",'03_BR'!$G:$G,"*"&amp;$A36&amp;"*")</f>
        <v>0</v>
      </c>
      <c r="I36" s="21">
        <f>COUNTIFS('03_BR'!$B:$B,"Business Goal",'03_BR'!$G:$G,"*"&amp;$A36&amp;"*")</f>
        <v>0</v>
      </c>
      <c r="J36" s="21">
        <f t="shared" si="1"/>
        <v>3</v>
      </c>
      <c r="K36" s="9" t="s">
        <v>2000</v>
      </c>
      <c r="L36" s="9"/>
      <c r="M36" s="21">
        <f>COUNTIF('10_API'!$G:$G,A36)</f>
        <v>1</v>
      </c>
    </row>
    <row r="37" ht="15.75" customHeight="1">
      <c r="A37" s="25" t="s">
        <v>737</v>
      </c>
      <c r="B37" s="9" t="s">
        <v>735</v>
      </c>
      <c r="C37" s="21" t="s">
        <v>129</v>
      </c>
      <c r="D37" s="21" t="s">
        <v>482</v>
      </c>
      <c r="E37" s="21">
        <f>COUNTIFS('03_BR'!$B:$B,"Functional BR",'03_BR'!$G:$G,"*"&amp;$A37&amp;"*")</f>
        <v>2</v>
      </c>
      <c r="F37" s="21">
        <f>COUNTIFS('03_BR'!$B:$B,"Non-functional BR",'03_BR'!$G:$G,"*"&amp;$A37&amp;"*")</f>
        <v>0</v>
      </c>
      <c r="G37" s="21">
        <f>COUNTIFS('03_BR'!$B:$B,"Business Rule",'03_BR'!$G:$G,"*"&amp;$A37&amp;"*")</f>
        <v>1</v>
      </c>
      <c r="H37" s="21">
        <f>COUNTIFS('03_BR'!$B:$B,"Business Constraint",'03_BR'!$G:$G,"*"&amp;$A37&amp;"*")</f>
        <v>0</v>
      </c>
      <c r="I37" s="21">
        <f>COUNTIFS('03_BR'!$B:$B,"Business Goal",'03_BR'!$G:$G,"*"&amp;$A37&amp;"*")</f>
        <v>0</v>
      </c>
      <c r="J37" s="21">
        <f t="shared" si="1"/>
        <v>3</v>
      </c>
      <c r="K37" s="9" t="s">
        <v>2005</v>
      </c>
      <c r="L37" s="9"/>
      <c r="M37" s="21">
        <f>COUNTIF('10_API'!$G:$G,A37)</f>
        <v>1</v>
      </c>
    </row>
    <row r="38" ht="15.75" customHeight="1">
      <c r="A38" s="25" t="s">
        <v>752</v>
      </c>
      <c r="B38" s="9" t="s">
        <v>750</v>
      </c>
      <c r="C38" s="21" t="s">
        <v>131</v>
      </c>
      <c r="D38" s="21" t="s">
        <v>463</v>
      </c>
      <c r="E38" s="21">
        <f>COUNTIFS('03_BR'!$B:$B,"Functional BR",'03_BR'!$G:$G,"*"&amp;$A38&amp;"*")</f>
        <v>4</v>
      </c>
      <c r="F38" s="21">
        <f>COUNTIFS('03_BR'!$B:$B,"Non-functional BR",'03_BR'!$G:$G,"*"&amp;$A38&amp;"*")</f>
        <v>2</v>
      </c>
      <c r="G38" s="21">
        <f>COUNTIFS('03_BR'!$B:$B,"Business Rule",'03_BR'!$G:$G,"*"&amp;$A38&amp;"*")</f>
        <v>4</v>
      </c>
      <c r="H38" s="21">
        <f>COUNTIFS('03_BR'!$B:$B,"Business Constraint",'03_BR'!$G:$G,"*"&amp;$A38&amp;"*")</f>
        <v>2</v>
      </c>
      <c r="I38" s="21">
        <f>COUNTIFS('03_BR'!$B:$B,"Business Goal",'03_BR'!$G:$G,"*"&amp;$A38&amp;"*")</f>
        <v>0</v>
      </c>
      <c r="J38" s="21">
        <f t="shared" si="1"/>
        <v>12</v>
      </c>
      <c r="K38" s="9" t="s">
        <v>2010</v>
      </c>
      <c r="L38" s="9" t="s">
        <v>2011</v>
      </c>
      <c r="M38" s="21">
        <f>COUNTIF('10_API'!$G:$G,A38)</f>
        <v>2</v>
      </c>
    </row>
    <row r="39" ht="15.75" customHeight="1">
      <c r="A39" s="25" t="s">
        <v>399</v>
      </c>
      <c r="B39" s="9" t="s">
        <v>398</v>
      </c>
      <c r="C39" s="21" t="s">
        <v>131</v>
      </c>
      <c r="D39" s="21" t="s">
        <v>463</v>
      </c>
      <c r="E39" s="21">
        <f>COUNTIFS('03_BR'!$B:$B,"Functional BR",'03_BR'!$G:$G,"*"&amp;$A39&amp;"*")</f>
        <v>5</v>
      </c>
      <c r="F39" s="21">
        <f>COUNTIFS('03_BR'!$B:$B,"Non-functional BR",'03_BR'!$G:$G,"*"&amp;$A39&amp;"*")</f>
        <v>3</v>
      </c>
      <c r="G39" s="21">
        <f>COUNTIFS('03_BR'!$B:$B,"Business Rule",'03_BR'!$G:$G,"*"&amp;$A39&amp;"*")</f>
        <v>4</v>
      </c>
      <c r="H39" s="21">
        <f>COUNTIFS('03_BR'!$B:$B,"Business Constraint",'03_BR'!$G:$G,"*"&amp;$A39&amp;"*")</f>
        <v>2</v>
      </c>
      <c r="I39" s="21">
        <f>COUNTIFS('03_BR'!$B:$B,"Business Goal",'03_BR'!$G:$G,"*"&amp;$A39&amp;"*")</f>
        <v>1</v>
      </c>
      <c r="J39" s="21">
        <f t="shared" si="1"/>
        <v>15</v>
      </c>
      <c r="K39" s="9" t="s">
        <v>2016</v>
      </c>
      <c r="L39" s="9" t="s">
        <v>2017</v>
      </c>
      <c r="M39" s="21">
        <f>COUNTIF('10_API'!$G:$G,A39)</f>
        <v>1</v>
      </c>
    </row>
    <row r="40" ht="15.75" customHeight="1">
      <c r="A40" s="25" t="s">
        <v>2018</v>
      </c>
      <c r="B40" s="9" t="s">
        <v>2019</v>
      </c>
      <c r="C40" s="21" t="s">
        <v>131</v>
      </c>
      <c r="D40" s="21" t="s">
        <v>463</v>
      </c>
      <c r="E40" s="21">
        <f>COUNTIFS('03_BR'!$B:$B,"Functional BR",'03_BR'!$G:$G,"*"&amp;$A40&amp;"*")</f>
        <v>2</v>
      </c>
      <c r="F40" s="21">
        <f>COUNTIFS('03_BR'!$B:$B,"Non-functional BR",'03_BR'!$G:$G,"*"&amp;$A40&amp;"*")</f>
        <v>2</v>
      </c>
      <c r="G40" s="21">
        <f>COUNTIFS('03_BR'!$B:$B,"Business Rule",'03_BR'!$G:$G,"*"&amp;$A40&amp;"*")</f>
        <v>6</v>
      </c>
      <c r="H40" s="21">
        <f>COUNTIFS('03_BR'!$B:$B,"Business Constraint",'03_BR'!$G:$G,"*"&amp;$A40&amp;"*")</f>
        <v>1</v>
      </c>
      <c r="I40" s="21">
        <f>COUNTIFS('03_BR'!$B:$B,"Business Goal",'03_BR'!$G:$G,"*"&amp;$A40&amp;"*")</f>
        <v>2</v>
      </c>
      <c r="J40" s="21">
        <f t="shared" si="1"/>
        <v>13</v>
      </c>
      <c r="K40" s="9" t="s">
        <v>2024</v>
      </c>
      <c r="L40" s="9"/>
      <c r="M40" s="21">
        <f>COUNTIF('10_API'!$G:$G,A40)</f>
        <v>2</v>
      </c>
    </row>
    <row r="41" ht="15.75" customHeight="1">
      <c r="A41" s="25" t="s">
        <v>808</v>
      </c>
      <c r="B41" s="9" t="s">
        <v>2025</v>
      </c>
      <c r="C41" s="21" t="s">
        <v>131</v>
      </c>
      <c r="D41" s="21" t="s">
        <v>463</v>
      </c>
      <c r="E41" s="21">
        <f>COUNTIFS('03_BR'!$B:$B,"Functional BR",'03_BR'!$G:$G,"*"&amp;$A41&amp;"*")</f>
        <v>2</v>
      </c>
      <c r="F41" s="21">
        <f>COUNTIFS('03_BR'!$B:$B,"Non-functional BR",'03_BR'!$G:$G,"*"&amp;$A41&amp;"*")</f>
        <v>1</v>
      </c>
      <c r="G41" s="21">
        <f>COUNTIFS('03_BR'!$B:$B,"Business Rule",'03_BR'!$G:$G,"*"&amp;$A41&amp;"*")</f>
        <v>4</v>
      </c>
      <c r="H41" s="21">
        <f>COUNTIFS('03_BR'!$B:$B,"Business Constraint",'03_BR'!$G:$G,"*"&amp;$A41&amp;"*")</f>
        <v>1</v>
      </c>
      <c r="I41" s="21">
        <f>COUNTIFS('03_BR'!$B:$B,"Business Goal",'03_BR'!$G:$G,"*"&amp;$A41&amp;"*")</f>
        <v>0</v>
      </c>
      <c r="J41" s="21">
        <f t="shared" si="1"/>
        <v>8</v>
      </c>
      <c r="K41" s="9" t="s">
        <v>2031</v>
      </c>
      <c r="L41" s="9"/>
      <c r="M41" s="21">
        <f>COUNTIF('10_API'!$G:$G,A41)</f>
        <v>1</v>
      </c>
    </row>
    <row r="42" ht="15.75" customHeight="1">
      <c r="A42" s="25" t="s">
        <v>776</v>
      </c>
      <c r="B42" s="9" t="s">
        <v>2032</v>
      </c>
      <c r="C42" s="21" t="s">
        <v>131</v>
      </c>
      <c r="D42" s="21" t="s">
        <v>463</v>
      </c>
      <c r="E42" s="21">
        <f>COUNTIFS('03_BR'!$B:$B,"Functional BR",'03_BR'!$G:$G,"*"&amp;$A42&amp;"*")</f>
        <v>2</v>
      </c>
      <c r="F42" s="21">
        <f>COUNTIFS('03_BR'!$B:$B,"Non-functional BR",'03_BR'!$G:$G,"*"&amp;$A42&amp;"*")</f>
        <v>1</v>
      </c>
      <c r="G42" s="21">
        <f>COUNTIFS('03_BR'!$B:$B,"Business Rule",'03_BR'!$G:$G,"*"&amp;$A42&amp;"*")</f>
        <v>1</v>
      </c>
      <c r="H42" s="21">
        <f>COUNTIFS('03_BR'!$B:$B,"Business Constraint",'03_BR'!$G:$G,"*"&amp;$A42&amp;"*")</f>
        <v>1</v>
      </c>
      <c r="I42" s="21">
        <f>COUNTIFS('03_BR'!$B:$B,"Business Goal",'03_BR'!$G:$G,"*"&amp;$A42&amp;"*")</f>
        <v>0</v>
      </c>
      <c r="J42" s="21">
        <f t="shared" si="1"/>
        <v>5</v>
      </c>
      <c r="K42" s="9" t="s">
        <v>2036</v>
      </c>
      <c r="L42" s="9" t="s">
        <v>2037</v>
      </c>
      <c r="M42" s="21">
        <f>COUNTIF('10_API'!$G:$G,A42)</f>
        <v>3</v>
      </c>
    </row>
    <row r="43" ht="15.75" customHeight="1">
      <c r="A43" s="25" t="s">
        <v>817</v>
      </c>
      <c r="B43" s="9" t="s">
        <v>815</v>
      </c>
      <c r="C43" s="21" t="s">
        <v>131</v>
      </c>
      <c r="D43" s="21" t="s">
        <v>463</v>
      </c>
      <c r="E43" s="21">
        <f>COUNTIFS('03_BR'!$B:$B,"Functional BR",'03_BR'!$G:$G,"*"&amp;$A43&amp;"*")</f>
        <v>1</v>
      </c>
      <c r="F43" s="21">
        <f>COUNTIFS('03_BR'!$B:$B,"Non-functional BR",'03_BR'!$G:$G,"*"&amp;$A43&amp;"*")</f>
        <v>1</v>
      </c>
      <c r="G43" s="21">
        <f>COUNTIFS('03_BR'!$B:$B,"Business Rule",'03_BR'!$G:$G,"*"&amp;$A43&amp;"*")</f>
        <v>2</v>
      </c>
      <c r="H43" s="21">
        <f>COUNTIFS('03_BR'!$B:$B,"Business Constraint",'03_BR'!$G:$G,"*"&amp;$A43&amp;"*")</f>
        <v>0</v>
      </c>
      <c r="I43" s="21">
        <f>COUNTIFS('03_BR'!$B:$B,"Business Goal",'03_BR'!$G:$G,"*"&amp;$A43&amp;"*")</f>
        <v>0</v>
      </c>
      <c r="J43" s="21">
        <f t="shared" si="1"/>
        <v>4</v>
      </c>
      <c r="K43" s="9" t="s">
        <v>2041</v>
      </c>
      <c r="L43" s="9" t="s">
        <v>2042</v>
      </c>
      <c r="M43" s="21">
        <f>COUNTIF('10_API'!$G:$G,A43)</f>
        <v>3</v>
      </c>
    </row>
    <row r="44" ht="15.75" customHeight="1">
      <c r="A44" s="25" t="s">
        <v>822</v>
      </c>
      <c r="B44" s="9" t="s">
        <v>820</v>
      </c>
      <c r="C44" s="21" t="s">
        <v>131</v>
      </c>
      <c r="D44" s="21" t="s">
        <v>463</v>
      </c>
      <c r="E44" s="21">
        <f>COUNTIFS('03_BR'!$B:$B,"Functional BR",'03_BR'!$G:$G,"*"&amp;$A44&amp;"*")</f>
        <v>1</v>
      </c>
      <c r="F44" s="21">
        <f>COUNTIFS('03_BR'!$B:$B,"Non-functional BR",'03_BR'!$G:$G,"*"&amp;$A44&amp;"*")</f>
        <v>1</v>
      </c>
      <c r="G44" s="21">
        <f>COUNTIFS('03_BR'!$B:$B,"Business Rule",'03_BR'!$G:$G,"*"&amp;$A44&amp;"*")</f>
        <v>5</v>
      </c>
      <c r="H44" s="21">
        <f>COUNTIFS('03_BR'!$B:$B,"Business Constraint",'03_BR'!$G:$G,"*"&amp;$A44&amp;"*")</f>
        <v>1</v>
      </c>
      <c r="I44" s="21">
        <f>COUNTIFS('03_BR'!$B:$B,"Business Goal",'03_BR'!$G:$G,"*"&amp;$A44&amp;"*")</f>
        <v>1</v>
      </c>
      <c r="J44" s="21">
        <f t="shared" si="1"/>
        <v>9</v>
      </c>
      <c r="K44" s="9" t="s">
        <v>2047</v>
      </c>
      <c r="L44" s="9" t="s">
        <v>2048</v>
      </c>
      <c r="M44" s="21">
        <f>COUNTIF('10_API'!$G:$G,A44)</f>
        <v>3</v>
      </c>
    </row>
    <row r="45" ht="15.75" customHeight="1">
      <c r="A45" s="25" t="s">
        <v>342</v>
      </c>
      <c r="B45" s="9" t="s">
        <v>2049</v>
      </c>
      <c r="C45" s="21" t="s">
        <v>131</v>
      </c>
      <c r="D45" s="21" t="s">
        <v>463</v>
      </c>
      <c r="E45" s="21">
        <f>COUNTIFS('03_BR'!$B:$B,"Functional BR",'03_BR'!$G:$G,"*"&amp;$A45&amp;"*")</f>
        <v>3</v>
      </c>
      <c r="F45" s="21">
        <f>COUNTIFS('03_BR'!$B:$B,"Non-functional BR",'03_BR'!$G:$G,"*"&amp;$A45&amp;"*")</f>
        <v>0</v>
      </c>
      <c r="G45" s="21">
        <f>COUNTIFS('03_BR'!$B:$B,"Business Rule",'03_BR'!$G:$G,"*"&amp;$A45&amp;"*")</f>
        <v>2</v>
      </c>
      <c r="H45" s="21">
        <f>COUNTIFS('03_BR'!$B:$B,"Business Constraint",'03_BR'!$G:$G,"*"&amp;$A45&amp;"*")</f>
        <v>1</v>
      </c>
      <c r="I45" s="21">
        <f>COUNTIFS('03_BR'!$B:$B,"Business Goal",'03_BR'!$G:$G,"*"&amp;$A45&amp;"*")</f>
        <v>1</v>
      </c>
      <c r="J45" s="21">
        <f t="shared" si="1"/>
        <v>7</v>
      </c>
      <c r="K45" s="9" t="s">
        <v>2055</v>
      </c>
      <c r="L45" s="9" t="s">
        <v>2056</v>
      </c>
      <c r="M45" s="21">
        <f>COUNTIF('10_API'!$G:$G,A45)</f>
        <v>6</v>
      </c>
    </row>
    <row r="46" ht="15.75" customHeight="1">
      <c r="A46" s="25" t="s">
        <v>766</v>
      </c>
      <c r="B46" s="9" t="s">
        <v>2057</v>
      </c>
      <c r="C46" s="21" t="s">
        <v>131</v>
      </c>
      <c r="D46" s="21" t="s">
        <v>463</v>
      </c>
      <c r="E46" s="21">
        <f>COUNTIFS('03_BR'!$B:$B,"Functional BR",'03_BR'!$G:$G,"*"&amp;$A46&amp;"*")</f>
        <v>2</v>
      </c>
      <c r="F46" s="21">
        <f>COUNTIFS('03_BR'!$B:$B,"Non-functional BR",'03_BR'!$G:$G,"*"&amp;$A46&amp;"*")</f>
        <v>3</v>
      </c>
      <c r="G46" s="21">
        <f>COUNTIFS('03_BR'!$B:$B,"Business Rule",'03_BR'!$G:$G,"*"&amp;$A46&amp;"*")</f>
        <v>1</v>
      </c>
      <c r="H46" s="21">
        <f>COUNTIFS('03_BR'!$B:$B,"Business Constraint",'03_BR'!$G:$G,"*"&amp;$A46&amp;"*")</f>
        <v>1</v>
      </c>
      <c r="I46" s="21">
        <f>COUNTIFS('03_BR'!$B:$B,"Business Goal",'03_BR'!$G:$G,"*"&amp;$A46&amp;"*")</f>
        <v>0</v>
      </c>
      <c r="J46" s="21">
        <f t="shared" si="1"/>
        <v>7</v>
      </c>
      <c r="K46" s="9" t="s">
        <v>2062</v>
      </c>
      <c r="L46" s="9"/>
      <c r="M46" s="21">
        <f>COUNTIF('10_API'!$G:$G,A46)</f>
        <v>1</v>
      </c>
    </row>
    <row r="47" ht="15.75" customHeight="1">
      <c r="A47" s="25" t="s">
        <v>839</v>
      </c>
      <c r="B47" s="9" t="s">
        <v>2063</v>
      </c>
      <c r="C47" s="21" t="s">
        <v>131</v>
      </c>
      <c r="D47" s="21" t="s">
        <v>556</v>
      </c>
      <c r="E47" s="21">
        <f>COUNTIFS('03_BR'!$B:$B,"Functional BR",'03_BR'!$G:$G,"*"&amp;$A47&amp;"*")</f>
        <v>3</v>
      </c>
      <c r="F47" s="21">
        <f>COUNTIFS('03_BR'!$B:$B,"Non-functional BR",'03_BR'!$G:$G,"*"&amp;$A47&amp;"*")</f>
        <v>2</v>
      </c>
      <c r="G47" s="21">
        <f>COUNTIFS('03_BR'!$B:$B,"Business Rule",'03_BR'!$G:$G,"*"&amp;$A47&amp;"*")</f>
        <v>1</v>
      </c>
      <c r="H47" s="21">
        <f>COUNTIFS('03_BR'!$B:$B,"Business Constraint",'03_BR'!$G:$G,"*"&amp;$A47&amp;"*")</f>
        <v>0</v>
      </c>
      <c r="I47" s="21">
        <f>COUNTIFS('03_BR'!$B:$B,"Business Goal",'03_BR'!$G:$G,"*"&amp;$A47&amp;"*")</f>
        <v>1</v>
      </c>
      <c r="J47" s="21">
        <f t="shared" si="1"/>
        <v>7</v>
      </c>
      <c r="K47" s="9" t="s">
        <v>2068</v>
      </c>
      <c r="L47" s="9" t="s">
        <v>2069</v>
      </c>
      <c r="M47" s="21">
        <f>COUNTIF('10_API'!$G:$G,A47)</f>
        <v>4</v>
      </c>
    </row>
    <row r="48" ht="15.75" customHeight="1">
      <c r="A48" s="25" t="s">
        <v>406</v>
      </c>
      <c r="B48" s="9" t="s">
        <v>861</v>
      </c>
      <c r="C48" s="21" t="s">
        <v>133</v>
      </c>
      <c r="D48" s="21" t="s">
        <v>482</v>
      </c>
      <c r="E48" s="21">
        <f>COUNTIFS('03_BR'!$B:$B,"Functional BR",'03_BR'!$G:$G,"*"&amp;$A48&amp;"*")</f>
        <v>1</v>
      </c>
      <c r="F48" s="21">
        <f>COUNTIFS('03_BR'!$B:$B,"Non-functional BR",'03_BR'!$G:$G,"*"&amp;$A48&amp;"*")</f>
        <v>0</v>
      </c>
      <c r="G48" s="21">
        <f>COUNTIFS('03_BR'!$B:$B,"Business Rule",'03_BR'!$G:$G,"*"&amp;$A48&amp;"*")</f>
        <v>1</v>
      </c>
      <c r="H48" s="21">
        <f>COUNTIFS('03_BR'!$B:$B,"Business Constraint",'03_BR'!$G:$G,"*"&amp;$A48&amp;"*")</f>
        <v>0</v>
      </c>
      <c r="I48" s="21">
        <f>COUNTIFS('03_BR'!$B:$B,"Business Goal",'03_BR'!$G:$G,"*"&amp;$A48&amp;"*")</f>
        <v>0</v>
      </c>
      <c r="J48" s="21">
        <f t="shared" si="1"/>
        <v>2</v>
      </c>
      <c r="K48" s="9" t="s">
        <v>2074</v>
      </c>
      <c r="L48" s="9" t="s">
        <v>2075</v>
      </c>
      <c r="M48" s="21">
        <f>COUNTIF('10_API'!$G:$G,A48)</f>
        <v>1</v>
      </c>
    </row>
    <row r="49" ht="15.75" customHeight="1">
      <c r="A49" s="25" t="s">
        <v>408</v>
      </c>
      <c r="B49" s="9" t="s">
        <v>407</v>
      </c>
      <c r="C49" s="21" t="s">
        <v>133</v>
      </c>
      <c r="D49" s="21" t="s">
        <v>482</v>
      </c>
      <c r="E49" s="21">
        <f>COUNTIFS('03_BR'!$B:$B,"Functional BR",'03_BR'!$G:$G,"*"&amp;$A49&amp;"*")</f>
        <v>1</v>
      </c>
      <c r="F49" s="21">
        <f>COUNTIFS('03_BR'!$B:$B,"Non-functional BR",'03_BR'!$G:$G,"*"&amp;$A49&amp;"*")</f>
        <v>0</v>
      </c>
      <c r="G49" s="21">
        <f>COUNTIFS('03_BR'!$B:$B,"Business Rule",'03_BR'!$G:$G,"*"&amp;$A49&amp;"*")</f>
        <v>1</v>
      </c>
      <c r="H49" s="21">
        <f>COUNTIFS('03_BR'!$B:$B,"Business Constraint",'03_BR'!$G:$G,"*"&amp;$A49&amp;"*")</f>
        <v>0</v>
      </c>
      <c r="I49" s="21">
        <f>COUNTIFS('03_BR'!$B:$B,"Business Goal",'03_BR'!$G:$G,"*"&amp;$A49&amp;"*")</f>
        <v>0</v>
      </c>
      <c r="J49" s="21">
        <f t="shared" si="1"/>
        <v>2</v>
      </c>
      <c r="K49" s="9" t="s">
        <v>2080</v>
      </c>
      <c r="L49" s="9" t="s">
        <v>2081</v>
      </c>
      <c r="M49" s="21">
        <f>COUNTIF('10_API'!$G:$G,A49)</f>
        <v>3</v>
      </c>
    </row>
    <row r="50" ht="15.75" customHeight="1">
      <c r="A50" s="25" t="s">
        <v>410</v>
      </c>
      <c r="B50" s="9" t="s">
        <v>2082</v>
      </c>
      <c r="C50" s="21" t="s">
        <v>143</v>
      </c>
      <c r="D50" s="21" t="s">
        <v>463</v>
      </c>
      <c r="E50" s="21">
        <f>COUNTIFS('03_BR'!$B:$B,"Functional BR",'03_BR'!$G:$G,"*"&amp;$A50&amp;"*")</f>
        <v>2</v>
      </c>
      <c r="F50" s="21">
        <f>COUNTIFS('03_BR'!$B:$B,"Non-functional BR",'03_BR'!$G:$G,"*"&amp;$A50&amp;"*")</f>
        <v>0</v>
      </c>
      <c r="G50" s="21">
        <f>COUNTIFS('03_BR'!$B:$B,"Business Rule",'03_BR'!$G:$G,"*"&amp;$A50&amp;"*")</f>
        <v>3</v>
      </c>
      <c r="H50" s="21">
        <f>COUNTIFS('03_BR'!$B:$B,"Business Constraint",'03_BR'!$G:$G,"*"&amp;$A50&amp;"*")</f>
        <v>0</v>
      </c>
      <c r="I50" s="21">
        <f>COUNTIFS('03_BR'!$B:$B,"Business Goal",'03_BR'!$G:$G,"*"&amp;$A50&amp;"*")</f>
        <v>1</v>
      </c>
      <c r="J50" s="21">
        <f t="shared" si="1"/>
        <v>6</v>
      </c>
      <c r="K50" s="9" t="s">
        <v>2087</v>
      </c>
      <c r="L50" s="9" t="s">
        <v>2088</v>
      </c>
      <c r="M50" s="21">
        <f>COUNTIF('10_API'!$G:$G,A50)</f>
        <v>3</v>
      </c>
    </row>
    <row r="51" ht="15.75" customHeight="1">
      <c r="A51" s="25" t="s">
        <v>412</v>
      </c>
      <c r="B51" s="9" t="s">
        <v>411</v>
      </c>
      <c r="C51" s="21" t="s">
        <v>135</v>
      </c>
      <c r="D51" s="21" t="s">
        <v>463</v>
      </c>
      <c r="E51" s="21">
        <f>COUNTIFS('03_BR'!$B:$B,"Functional BR",'03_BR'!$G:$G,"*"&amp;$A51&amp;"*")</f>
        <v>1</v>
      </c>
      <c r="F51" s="21">
        <f>COUNTIFS('03_BR'!$B:$B,"Non-functional BR",'03_BR'!$G:$G,"*"&amp;$A51&amp;"*")</f>
        <v>1</v>
      </c>
      <c r="G51" s="21">
        <f>COUNTIFS('03_BR'!$B:$B,"Business Rule",'03_BR'!$G:$G,"*"&amp;$A51&amp;"*")</f>
        <v>3</v>
      </c>
      <c r="H51" s="21">
        <f>COUNTIFS('03_BR'!$B:$B,"Business Constraint",'03_BR'!$G:$G,"*"&amp;$A51&amp;"*")</f>
        <v>0</v>
      </c>
      <c r="I51" s="21">
        <f>COUNTIFS('03_BR'!$B:$B,"Business Goal",'03_BR'!$G:$G,"*"&amp;$A51&amp;"*")</f>
        <v>1</v>
      </c>
      <c r="J51" s="21">
        <f t="shared" si="1"/>
        <v>6</v>
      </c>
      <c r="K51" s="9" t="s">
        <v>2093</v>
      </c>
      <c r="L51" s="9" t="s">
        <v>2094</v>
      </c>
      <c r="M51" s="21">
        <f>COUNTIF('10_API'!$G:$G,A51)</f>
        <v>1</v>
      </c>
    </row>
    <row r="52" ht="15.75" customHeight="1">
      <c r="A52" s="25" t="s">
        <v>414</v>
      </c>
      <c r="B52" s="9" t="s">
        <v>413</v>
      </c>
      <c r="C52" s="21" t="s">
        <v>135</v>
      </c>
      <c r="D52" s="21" t="s">
        <v>463</v>
      </c>
      <c r="E52" s="21">
        <f>COUNTIFS('03_BR'!$B:$B,"Functional BR",'03_BR'!$G:$G,"*"&amp;$A52&amp;"*")</f>
        <v>3</v>
      </c>
      <c r="F52" s="21">
        <f>COUNTIFS('03_BR'!$B:$B,"Non-functional BR",'03_BR'!$G:$G,"*"&amp;$A52&amp;"*")</f>
        <v>0</v>
      </c>
      <c r="G52" s="21">
        <f>COUNTIFS('03_BR'!$B:$B,"Business Rule",'03_BR'!$G:$G,"*"&amp;$A52&amp;"*")</f>
        <v>1</v>
      </c>
      <c r="H52" s="21">
        <f>COUNTIFS('03_BR'!$B:$B,"Business Constraint",'03_BR'!$G:$G,"*"&amp;$A52&amp;"*")</f>
        <v>0</v>
      </c>
      <c r="I52" s="21">
        <f>COUNTIFS('03_BR'!$B:$B,"Business Goal",'03_BR'!$G:$G,"*"&amp;$A52&amp;"*")</f>
        <v>0</v>
      </c>
      <c r="J52" s="21">
        <f t="shared" si="1"/>
        <v>4</v>
      </c>
      <c r="K52" s="9" t="s">
        <v>2098</v>
      </c>
      <c r="L52" s="9" t="s">
        <v>2099</v>
      </c>
      <c r="M52" s="21">
        <f>COUNTIF('10_API'!$G:$G,A52)</f>
        <v>3</v>
      </c>
    </row>
    <row r="53" ht="15.75" customHeight="1">
      <c r="A53" s="25" t="s">
        <v>883</v>
      </c>
      <c r="B53" s="9" t="s">
        <v>2100</v>
      </c>
      <c r="C53" s="21" t="s">
        <v>135</v>
      </c>
      <c r="D53" s="21" t="s">
        <v>463</v>
      </c>
      <c r="E53" s="21">
        <f>COUNTIFS('03_BR'!$B:$B,"Functional BR",'03_BR'!$G:$G,"*"&amp;$A53&amp;"*")</f>
        <v>3</v>
      </c>
      <c r="F53" s="21">
        <f>COUNTIFS('03_BR'!$B:$B,"Non-functional BR",'03_BR'!$G:$G,"*"&amp;$A53&amp;"*")</f>
        <v>0</v>
      </c>
      <c r="G53" s="21">
        <f>COUNTIFS('03_BR'!$B:$B,"Business Rule",'03_BR'!$G:$G,"*"&amp;$A53&amp;"*")</f>
        <v>5</v>
      </c>
      <c r="H53" s="21">
        <f>COUNTIFS('03_BR'!$B:$B,"Business Constraint",'03_BR'!$G:$G,"*"&amp;$A53&amp;"*")</f>
        <v>0</v>
      </c>
      <c r="I53" s="21">
        <f>COUNTIFS('03_BR'!$B:$B,"Business Goal",'03_BR'!$G:$G,"*"&amp;$A53&amp;"*")</f>
        <v>1</v>
      </c>
      <c r="J53" s="21">
        <f t="shared" si="1"/>
        <v>9</v>
      </c>
      <c r="K53" s="9" t="s">
        <v>2105</v>
      </c>
      <c r="L53" s="9"/>
      <c r="M53" s="21">
        <f>COUNTIF('10_API'!$G:$G,A53)</f>
        <v>1</v>
      </c>
    </row>
    <row r="54" ht="15.75" customHeight="1">
      <c r="A54" s="25" t="s">
        <v>416</v>
      </c>
      <c r="B54" s="9" t="s">
        <v>415</v>
      </c>
      <c r="C54" s="21" t="s">
        <v>137</v>
      </c>
      <c r="D54" s="21" t="s">
        <v>463</v>
      </c>
      <c r="E54" s="21">
        <f>COUNTIFS('03_BR'!$B:$B,"Functional BR",'03_BR'!$G:$G,"*"&amp;$A54&amp;"*")</f>
        <v>1</v>
      </c>
      <c r="F54" s="21">
        <f>COUNTIFS('03_BR'!$B:$B,"Non-functional BR",'03_BR'!$G:$G,"*"&amp;$A54&amp;"*")</f>
        <v>0</v>
      </c>
      <c r="G54" s="21">
        <f>COUNTIFS('03_BR'!$B:$B,"Business Rule",'03_BR'!$G:$G,"*"&amp;$A54&amp;"*")</f>
        <v>3</v>
      </c>
      <c r="H54" s="21">
        <f>COUNTIFS('03_BR'!$B:$B,"Business Constraint",'03_BR'!$G:$G,"*"&amp;$A54&amp;"*")</f>
        <v>0</v>
      </c>
      <c r="I54" s="21">
        <f>COUNTIFS('03_BR'!$B:$B,"Business Goal",'03_BR'!$G:$G,"*"&amp;$A54&amp;"*")</f>
        <v>1</v>
      </c>
      <c r="J54" s="21">
        <f t="shared" si="1"/>
        <v>5</v>
      </c>
      <c r="K54" s="9" t="s">
        <v>2110</v>
      </c>
      <c r="L54" s="9" t="s">
        <v>2111</v>
      </c>
      <c r="M54" s="21">
        <f>COUNTIF('10_API'!$G:$G,A54)</f>
        <v>1</v>
      </c>
    </row>
    <row r="55" ht="15.75" customHeight="1">
      <c r="A55" s="25" t="s">
        <v>418</v>
      </c>
      <c r="B55" s="9" t="s">
        <v>2112</v>
      </c>
      <c r="C55" s="21" t="s">
        <v>137</v>
      </c>
      <c r="D55" s="21" t="s">
        <v>463</v>
      </c>
      <c r="E55" s="21">
        <f>COUNTIFS('03_BR'!$B:$B,"Functional BR",'03_BR'!$G:$G,"*"&amp;$A55&amp;"*")</f>
        <v>5</v>
      </c>
      <c r="F55" s="21">
        <f>COUNTIFS('03_BR'!$B:$B,"Non-functional BR",'03_BR'!$G:$G,"*"&amp;$A55&amp;"*")</f>
        <v>0</v>
      </c>
      <c r="G55" s="21">
        <f>COUNTIFS('03_BR'!$B:$B,"Business Rule",'03_BR'!$G:$G,"*"&amp;$A55&amp;"*")</f>
        <v>2</v>
      </c>
      <c r="H55" s="21">
        <f>COUNTIFS('03_BR'!$B:$B,"Business Constraint",'03_BR'!$G:$G,"*"&amp;$A55&amp;"*")</f>
        <v>0</v>
      </c>
      <c r="I55" s="21">
        <f>COUNTIFS('03_BR'!$B:$B,"Business Goal",'03_BR'!$G:$G,"*"&amp;$A55&amp;"*")</f>
        <v>1</v>
      </c>
      <c r="J55" s="21">
        <f t="shared" si="1"/>
        <v>8</v>
      </c>
      <c r="K55" s="9" t="s">
        <v>2118</v>
      </c>
      <c r="L55" s="9" t="s">
        <v>2119</v>
      </c>
      <c r="M55" s="21">
        <f>COUNTIF('10_API'!$G:$G,A55)</f>
        <v>5</v>
      </c>
    </row>
    <row r="56" ht="15.75" customHeight="1">
      <c r="A56" s="25" t="s">
        <v>420</v>
      </c>
      <c r="B56" s="9" t="s">
        <v>419</v>
      </c>
      <c r="C56" s="21" t="s">
        <v>137</v>
      </c>
      <c r="D56" s="21" t="s">
        <v>463</v>
      </c>
      <c r="E56" s="21">
        <f>COUNTIFS('03_BR'!$B:$B,"Functional BR",'03_BR'!$G:$G,"*"&amp;$A56&amp;"*")</f>
        <v>1</v>
      </c>
      <c r="F56" s="21">
        <f>COUNTIFS('03_BR'!$B:$B,"Non-functional BR",'03_BR'!$G:$G,"*"&amp;$A56&amp;"*")</f>
        <v>0</v>
      </c>
      <c r="G56" s="21">
        <f>COUNTIFS('03_BR'!$B:$B,"Business Rule",'03_BR'!$G:$G,"*"&amp;$A56&amp;"*")</f>
        <v>3</v>
      </c>
      <c r="H56" s="21">
        <f>COUNTIFS('03_BR'!$B:$B,"Business Constraint",'03_BR'!$G:$G,"*"&amp;$A56&amp;"*")</f>
        <v>0</v>
      </c>
      <c r="I56" s="21">
        <f>COUNTIFS('03_BR'!$B:$B,"Business Goal",'03_BR'!$G:$G,"*"&amp;$A56&amp;"*")</f>
        <v>0</v>
      </c>
      <c r="J56" s="21">
        <f t="shared" si="1"/>
        <v>4</v>
      </c>
      <c r="K56" s="9" t="s">
        <v>2124</v>
      </c>
      <c r="L56" s="9" t="s">
        <v>2125</v>
      </c>
      <c r="M56" s="21">
        <f>COUNTIF('10_API'!$G:$G,A56)</f>
        <v>2</v>
      </c>
    </row>
    <row r="57" ht="15.75" customHeight="1">
      <c r="A57" s="25" t="s">
        <v>422</v>
      </c>
      <c r="B57" s="9" t="s">
        <v>421</v>
      </c>
      <c r="C57" s="21" t="s">
        <v>139</v>
      </c>
      <c r="D57" s="21" t="s">
        <v>463</v>
      </c>
      <c r="E57" s="21">
        <f>COUNTIFS('03_BR'!$B:$B,"Functional BR",'03_BR'!$G:$G,"*"&amp;$A57&amp;"*")</f>
        <v>6</v>
      </c>
      <c r="F57" s="21">
        <f>COUNTIFS('03_BR'!$B:$B,"Non-functional BR",'03_BR'!$G:$G,"*"&amp;$A57&amp;"*")</f>
        <v>2</v>
      </c>
      <c r="G57" s="21">
        <f>COUNTIFS('03_BR'!$B:$B,"Business Rule",'03_BR'!$G:$G,"*"&amp;$A57&amp;"*")</f>
        <v>1</v>
      </c>
      <c r="H57" s="21">
        <f>COUNTIFS('03_BR'!$B:$B,"Business Constraint",'03_BR'!$G:$G,"*"&amp;$A57&amp;"*")</f>
        <v>0</v>
      </c>
      <c r="I57" s="21">
        <f>COUNTIFS('03_BR'!$B:$B,"Business Goal",'03_BR'!$G:$G,"*"&amp;$A57&amp;"*")</f>
        <v>0</v>
      </c>
      <c r="J57" s="21">
        <f t="shared" si="1"/>
        <v>9</v>
      </c>
      <c r="K57" s="9" t="s">
        <v>2129</v>
      </c>
      <c r="L57" s="9" t="s">
        <v>2130</v>
      </c>
      <c r="M57" s="21">
        <f>COUNTIF('10_API'!$G:$G,A57)</f>
        <v>6</v>
      </c>
    </row>
    <row r="58" ht="15.75" customHeight="1">
      <c r="A58" s="25" t="s">
        <v>425</v>
      </c>
      <c r="B58" s="9" t="s">
        <v>424</v>
      </c>
      <c r="C58" s="21" t="s">
        <v>141</v>
      </c>
      <c r="D58" s="21" t="s">
        <v>463</v>
      </c>
      <c r="E58" s="21">
        <f>COUNTIFS('03_BR'!$B:$B,"Functional BR",'03_BR'!$G:$G,"*"&amp;$A58&amp;"*")</f>
        <v>2</v>
      </c>
      <c r="F58" s="21">
        <f>COUNTIFS('03_BR'!$B:$B,"Non-functional BR",'03_BR'!$G:$G,"*"&amp;$A58&amp;"*")</f>
        <v>0</v>
      </c>
      <c r="G58" s="21">
        <f>COUNTIFS('03_BR'!$B:$B,"Business Rule",'03_BR'!$G:$G,"*"&amp;$A58&amp;"*")</f>
        <v>1</v>
      </c>
      <c r="H58" s="21">
        <f>COUNTIFS('03_BR'!$B:$B,"Business Constraint",'03_BR'!$G:$G,"*"&amp;$A58&amp;"*")</f>
        <v>1</v>
      </c>
      <c r="I58" s="21">
        <f>COUNTIFS('03_BR'!$B:$B,"Business Goal",'03_BR'!$G:$G,"*"&amp;$A58&amp;"*")</f>
        <v>0</v>
      </c>
      <c r="J58" s="21">
        <f t="shared" si="1"/>
        <v>4</v>
      </c>
      <c r="K58" s="9" t="s">
        <v>2135</v>
      </c>
      <c r="L58" s="9" t="s">
        <v>2136</v>
      </c>
      <c r="M58" s="21">
        <f>COUNTIF('10_API'!$G:$G,A58)</f>
        <v>3</v>
      </c>
    </row>
    <row r="59" ht="15.75" customHeight="1">
      <c r="A59" s="25" t="s">
        <v>427</v>
      </c>
      <c r="B59" s="9" t="s">
        <v>426</v>
      </c>
      <c r="C59" s="21" t="s">
        <v>141</v>
      </c>
      <c r="D59" s="21" t="s">
        <v>463</v>
      </c>
      <c r="E59" s="21">
        <f>COUNTIFS('03_BR'!$B:$B,"Functional BR",'03_BR'!$G:$G,"*"&amp;$A59&amp;"*")</f>
        <v>4</v>
      </c>
      <c r="F59" s="21">
        <f>COUNTIFS('03_BR'!$B:$B,"Non-functional BR",'03_BR'!$G:$G,"*"&amp;$A59&amp;"*")</f>
        <v>0</v>
      </c>
      <c r="G59" s="21">
        <f>COUNTIFS('03_BR'!$B:$B,"Business Rule",'03_BR'!$G:$G,"*"&amp;$A59&amp;"*")</f>
        <v>1</v>
      </c>
      <c r="H59" s="21">
        <f>COUNTIFS('03_BR'!$B:$B,"Business Constraint",'03_BR'!$G:$G,"*"&amp;$A59&amp;"*")</f>
        <v>0</v>
      </c>
      <c r="I59" s="21">
        <f>COUNTIFS('03_BR'!$B:$B,"Business Goal",'03_BR'!$G:$G,"*"&amp;$A59&amp;"*")</f>
        <v>0</v>
      </c>
      <c r="J59" s="21">
        <f t="shared" si="1"/>
        <v>5</v>
      </c>
      <c r="K59" s="9" t="s">
        <v>2140</v>
      </c>
      <c r="L59" s="9" t="s">
        <v>2141</v>
      </c>
      <c r="M59" s="21">
        <f>COUNTIF('10_API'!$G:$G,A59)</f>
        <v>2</v>
      </c>
    </row>
    <row r="60" ht="15.75" customHeight="1">
      <c r="A60" s="25" t="s">
        <v>429</v>
      </c>
      <c r="B60" s="9" t="s">
        <v>428</v>
      </c>
      <c r="C60" s="21" t="s">
        <v>141</v>
      </c>
      <c r="D60" s="21" t="s">
        <v>463</v>
      </c>
      <c r="E60" s="21">
        <f>COUNTIFS('03_BR'!$B:$B,"Functional BR",'03_BR'!$G:$G,"*"&amp;$A60&amp;"*")</f>
        <v>1</v>
      </c>
      <c r="F60" s="21">
        <f>COUNTIFS('03_BR'!$B:$B,"Non-functional BR",'03_BR'!$G:$G,"*"&amp;$A60&amp;"*")</f>
        <v>0</v>
      </c>
      <c r="G60" s="21">
        <f>COUNTIFS('03_BR'!$B:$B,"Business Rule",'03_BR'!$G:$G,"*"&amp;$A60&amp;"*")</f>
        <v>3</v>
      </c>
      <c r="H60" s="21">
        <f>COUNTIFS('03_BR'!$B:$B,"Business Constraint",'03_BR'!$G:$G,"*"&amp;$A60&amp;"*")</f>
        <v>0</v>
      </c>
      <c r="I60" s="21">
        <f>COUNTIFS('03_BR'!$B:$B,"Business Goal",'03_BR'!$G:$G,"*"&amp;$A60&amp;"*")</f>
        <v>0</v>
      </c>
      <c r="J60" s="21">
        <f t="shared" si="1"/>
        <v>4</v>
      </c>
      <c r="K60" s="9" t="s">
        <v>2145</v>
      </c>
      <c r="L60" s="9" t="s">
        <v>2146</v>
      </c>
      <c r="M60" s="21">
        <f>COUNTIF('10_API'!$G:$G,A60)</f>
        <v>3</v>
      </c>
    </row>
    <row r="61" ht="15.75" customHeight="1">
      <c r="A61" s="25" t="s">
        <v>432</v>
      </c>
      <c r="B61" s="9" t="s">
        <v>431</v>
      </c>
      <c r="C61" s="21" t="s">
        <v>143</v>
      </c>
      <c r="D61" s="21" t="s">
        <v>463</v>
      </c>
      <c r="E61" s="21">
        <f>COUNTIFS('03_BR'!$B:$B,"Functional BR",'03_BR'!$G:$G,"*"&amp;$A61&amp;"*")</f>
        <v>3</v>
      </c>
      <c r="F61" s="21">
        <f>COUNTIFS('03_BR'!$B:$B,"Non-functional BR",'03_BR'!$G:$G,"*"&amp;$A61&amp;"*")</f>
        <v>1</v>
      </c>
      <c r="G61" s="21">
        <f>COUNTIFS('03_BR'!$B:$B,"Business Rule",'03_BR'!$G:$G,"*"&amp;$A61&amp;"*")</f>
        <v>0</v>
      </c>
      <c r="H61" s="21">
        <f>COUNTIFS('03_BR'!$B:$B,"Business Constraint",'03_BR'!$G:$G,"*"&amp;$A61&amp;"*")</f>
        <v>0</v>
      </c>
      <c r="I61" s="21">
        <f>COUNTIFS('03_BR'!$B:$B,"Business Goal",'03_BR'!$G:$G,"*"&amp;$A61&amp;"*")</f>
        <v>0</v>
      </c>
      <c r="J61" s="21">
        <f t="shared" si="1"/>
        <v>4</v>
      </c>
      <c r="K61" s="9" t="s">
        <v>2150</v>
      </c>
      <c r="L61" s="9" t="s">
        <v>2151</v>
      </c>
      <c r="M61" s="21">
        <f>COUNTIF('10_API'!$G:$G,A61)</f>
        <v>4</v>
      </c>
    </row>
    <row r="62" ht="15.75" customHeight="1">
      <c r="A62" s="25" t="s">
        <v>434</v>
      </c>
      <c r="B62" s="9" t="s">
        <v>433</v>
      </c>
      <c r="C62" s="21" t="s">
        <v>143</v>
      </c>
      <c r="D62" s="21" t="s">
        <v>463</v>
      </c>
      <c r="E62" s="21">
        <f>COUNTIFS('03_BR'!$B:$B,"Functional BR",'03_BR'!$G:$G,"*"&amp;$A62&amp;"*")</f>
        <v>2</v>
      </c>
      <c r="F62" s="21">
        <f>COUNTIFS('03_BR'!$B:$B,"Non-functional BR",'03_BR'!$G:$G,"*"&amp;$A62&amp;"*")</f>
        <v>0</v>
      </c>
      <c r="G62" s="21">
        <f>COUNTIFS('03_BR'!$B:$B,"Business Rule",'03_BR'!$G:$G,"*"&amp;$A62&amp;"*")</f>
        <v>0</v>
      </c>
      <c r="H62" s="21">
        <f>COUNTIFS('03_BR'!$B:$B,"Business Constraint",'03_BR'!$G:$G,"*"&amp;$A62&amp;"*")</f>
        <v>1</v>
      </c>
      <c r="I62" s="21">
        <f>COUNTIFS('03_BR'!$B:$B,"Business Goal",'03_BR'!$G:$G,"*"&amp;$A62&amp;"*")</f>
        <v>0</v>
      </c>
      <c r="J62" s="21">
        <f t="shared" si="1"/>
        <v>3</v>
      </c>
      <c r="K62" s="9" t="s">
        <v>2155</v>
      </c>
      <c r="L62" s="9" t="s">
        <v>2156</v>
      </c>
      <c r="M62" s="21">
        <f>COUNTIF('10_API'!$G:$G,A62)</f>
        <v>6</v>
      </c>
    </row>
    <row r="63" ht="15.75" customHeight="1">
      <c r="A63" s="25" t="s">
        <v>436</v>
      </c>
      <c r="B63" s="9" t="s">
        <v>435</v>
      </c>
      <c r="C63" s="21" t="s">
        <v>143</v>
      </c>
      <c r="D63" s="21" t="s">
        <v>463</v>
      </c>
      <c r="E63" s="21">
        <f>COUNTIFS('03_BR'!$B:$B,"Functional BR",'03_BR'!$G:$G,"*"&amp;$A63&amp;"*")</f>
        <v>4</v>
      </c>
      <c r="F63" s="21">
        <f>COUNTIFS('03_BR'!$B:$B,"Non-functional BR",'03_BR'!$G:$G,"*"&amp;$A63&amp;"*")</f>
        <v>0</v>
      </c>
      <c r="G63" s="21">
        <f>COUNTIFS('03_BR'!$B:$B,"Business Rule",'03_BR'!$G:$G,"*"&amp;$A63&amp;"*")</f>
        <v>0</v>
      </c>
      <c r="H63" s="21">
        <f>COUNTIFS('03_BR'!$B:$B,"Business Constraint",'03_BR'!$G:$G,"*"&amp;$A63&amp;"*")</f>
        <v>1</v>
      </c>
      <c r="I63" s="21">
        <f>COUNTIFS('03_BR'!$B:$B,"Business Goal",'03_BR'!$G:$G,"*"&amp;$A63&amp;"*")</f>
        <v>0</v>
      </c>
      <c r="J63" s="21">
        <f t="shared" si="1"/>
        <v>5</v>
      </c>
      <c r="K63" s="9" t="s">
        <v>2160</v>
      </c>
      <c r="L63" s="9" t="s">
        <v>2161</v>
      </c>
      <c r="M63" s="21">
        <f>COUNTIF('10_API'!$G:$G,A63)</f>
        <v>3</v>
      </c>
    </row>
    <row r="64" ht="15.75" customHeight="1">
      <c r="A64" s="25" t="s">
        <v>438</v>
      </c>
      <c r="B64" s="9" t="s">
        <v>437</v>
      </c>
      <c r="C64" s="21" t="s">
        <v>143</v>
      </c>
      <c r="D64" s="21" t="s">
        <v>556</v>
      </c>
      <c r="E64" s="21">
        <f>COUNTIFS('03_BR'!$B:$B,"Functional BR",'03_BR'!$G:$G,"*"&amp;$A64&amp;"*")</f>
        <v>2</v>
      </c>
      <c r="F64" s="21">
        <f>COUNTIFS('03_BR'!$B:$B,"Non-functional BR",'03_BR'!$G:$G,"*"&amp;$A64&amp;"*")</f>
        <v>2</v>
      </c>
      <c r="G64" s="21">
        <f>COUNTIFS('03_BR'!$B:$B,"Business Rule",'03_BR'!$G:$G,"*"&amp;$A64&amp;"*")</f>
        <v>2</v>
      </c>
      <c r="H64" s="21">
        <f>COUNTIFS('03_BR'!$B:$B,"Business Constraint",'03_BR'!$G:$G,"*"&amp;$A64&amp;"*")</f>
        <v>0</v>
      </c>
      <c r="I64" s="21">
        <f>COUNTIFS('03_BR'!$B:$B,"Business Goal",'03_BR'!$G:$G,"*"&amp;$A64&amp;"*")</f>
        <v>0</v>
      </c>
      <c r="J64" s="21">
        <f t="shared" si="1"/>
        <v>6</v>
      </c>
      <c r="K64" s="9" t="s">
        <v>2165</v>
      </c>
      <c r="L64" s="9" t="s">
        <v>2166</v>
      </c>
      <c r="M64" s="21">
        <f>COUNTIF('10_API'!$G:$G,A64)</f>
        <v>1</v>
      </c>
    </row>
    <row r="65" ht="15.75" customHeight="1">
      <c r="A65" s="25" t="s">
        <v>440</v>
      </c>
      <c r="B65" s="9" t="s">
        <v>439</v>
      </c>
      <c r="C65" s="21" t="s">
        <v>145</v>
      </c>
      <c r="D65" s="21" t="s">
        <v>556</v>
      </c>
      <c r="E65" s="21">
        <f>COUNTIFS('03_BR'!$B:$B,"Functional BR",'03_BR'!$G:$G,"*"&amp;$A65&amp;"*")</f>
        <v>3</v>
      </c>
      <c r="F65" s="21">
        <f>COUNTIFS('03_BR'!$B:$B,"Non-functional BR",'03_BR'!$G:$G,"*"&amp;$A65&amp;"*")</f>
        <v>0</v>
      </c>
      <c r="G65" s="21">
        <f>COUNTIFS('03_BR'!$B:$B,"Business Rule",'03_BR'!$G:$G,"*"&amp;$A65&amp;"*")</f>
        <v>0</v>
      </c>
      <c r="H65" s="21">
        <f>COUNTIFS('03_BR'!$B:$B,"Business Constraint",'03_BR'!$G:$G,"*"&amp;$A65&amp;"*")</f>
        <v>0</v>
      </c>
      <c r="I65" s="21">
        <f>COUNTIFS('03_BR'!$B:$B,"Business Goal",'03_BR'!$G:$G,"*"&amp;$A65&amp;"*")</f>
        <v>1</v>
      </c>
      <c r="J65" s="21">
        <f t="shared" si="1"/>
        <v>4</v>
      </c>
      <c r="K65" s="9" t="s">
        <v>2171</v>
      </c>
      <c r="L65" s="9" t="s">
        <v>2172</v>
      </c>
      <c r="M65" s="21">
        <f>COUNTIF('10_API'!$G:$G,A65)</f>
        <v>2</v>
      </c>
    </row>
    <row r="66" ht="15.75" customHeight="1">
      <c r="A66" s="25" t="s">
        <v>442</v>
      </c>
      <c r="B66" s="9" t="s">
        <v>2173</v>
      </c>
      <c r="C66" s="21" t="s">
        <v>145</v>
      </c>
      <c r="D66" s="21" t="s">
        <v>482</v>
      </c>
      <c r="E66" s="21">
        <f>COUNTIFS('03_BR'!$B:$B,"Functional BR",'03_BR'!$G:$G,"*"&amp;$A66&amp;"*")</f>
        <v>2</v>
      </c>
      <c r="F66" s="21">
        <f>COUNTIFS('03_BR'!$B:$B,"Non-functional BR",'03_BR'!$G:$G,"*"&amp;$A66&amp;"*")</f>
        <v>0</v>
      </c>
      <c r="G66" s="21">
        <f>COUNTIFS('03_BR'!$B:$B,"Business Rule",'03_BR'!$G:$G,"*"&amp;$A66&amp;"*")</f>
        <v>0</v>
      </c>
      <c r="H66" s="21">
        <f>COUNTIFS('03_BR'!$B:$B,"Business Constraint",'03_BR'!$G:$G,"*"&amp;$A66&amp;"*")</f>
        <v>0</v>
      </c>
      <c r="I66" s="21">
        <f>COUNTIFS('03_BR'!$B:$B,"Business Goal",'03_BR'!$G:$G,"*"&amp;$A66&amp;"*")</f>
        <v>1</v>
      </c>
      <c r="J66" s="21">
        <f t="shared" si="1"/>
        <v>3</v>
      </c>
      <c r="K66" s="9" t="s">
        <v>2178</v>
      </c>
      <c r="L66" s="9" t="s">
        <v>2179</v>
      </c>
      <c r="M66" s="21">
        <f>COUNTIF('10_API'!$G:$G,A66)</f>
        <v>2</v>
      </c>
    </row>
    <row r="67" ht="15.75" customHeight="1">
      <c r="A67" s="25" t="s">
        <v>444</v>
      </c>
      <c r="B67" s="9" t="s">
        <v>2180</v>
      </c>
      <c r="C67" s="21" t="s">
        <v>143</v>
      </c>
      <c r="D67" s="21" t="s">
        <v>463</v>
      </c>
      <c r="E67" s="21">
        <f>COUNTIFS('03_BR'!$B:$B,"Functional BR",'03_BR'!$G:$G,"*"&amp;$A67&amp;"*")</f>
        <v>3</v>
      </c>
      <c r="F67" s="21">
        <f>COUNTIFS('03_BR'!$B:$B,"Non-functional BR",'03_BR'!$G:$G,"*"&amp;$A67&amp;"*")</f>
        <v>2</v>
      </c>
      <c r="G67" s="21">
        <f>COUNTIFS('03_BR'!$B:$B,"Business Rule",'03_BR'!$G:$G,"*"&amp;$A67&amp;"*")</f>
        <v>3</v>
      </c>
      <c r="H67" s="21">
        <f>COUNTIFS('03_BR'!$B:$B,"Business Constraint",'03_BR'!$G:$G,"*"&amp;$A67&amp;"*")</f>
        <v>0</v>
      </c>
      <c r="I67" s="21">
        <f>COUNTIFS('03_BR'!$B:$B,"Business Goal",'03_BR'!$G:$G,"*"&amp;$A67&amp;"*")</f>
        <v>0</v>
      </c>
      <c r="J67" s="21">
        <f t="shared" si="1"/>
        <v>8</v>
      </c>
      <c r="K67" s="9" t="s">
        <v>2185</v>
      </c>
      <c r="L67" s="9" t="s">
        <v>2186</v>
      </c>
      <c r="M67" s="21">
        <f>COUNTIF('10_API'!$G:$G,A67)</f>
        <v>3</v>
      </c>
    </row>
    <row r="68" ht="15.75" customHeight="1"/>
    <row r="69" ht="15.75" customHeight="1"/>
    <row r="70" ht="21.75" customHeight="1">
      <c r="A70" s="3" t="s">
        <v>2196</v>
      </c>
      <c r="B70" s="4"/>
      <c r="C70" s="4"/>
      <c r="D70" s="4"/>
      <c r="E70" s="4"/>
      <c r="F70" s="4"/>
      <c r="G70" s="4"/>
      <c r="H70" s="4"/>
      <c r="I70" s="4"/>
      <c r="J70" s="4"/>
      <c r="K70" s="4"/>
      <c r="L70" s="4"/>
      <c r="M70" s="4"/>
    </row>
    <row r="71" ht="24.0" customHeight="1">
      <c r="A71" s="8" t="s">
        <v>111</v>
      </c>
      <c r="B71" s="8" t="s">
        <v>449</v>
      </c>
      <c r="C71" s="8"/>
      <c r="D71" s="8"/>
      <c r="E71" s="8" t="s">
        <v>2190</v>
      </c>
      <c r="F71" s="8" t="s">
        <v>2191</v>
      </c>
      <c r="G71" s="8" t="s">
        <v>1205</v>
      </c>
      <c r="H71" s="8" t="s">
        <v>2192</v>
      </c>
      <c r="I71" s="8" t="s">
        <v>2193</v>
      </c>
      <c r="J71" s="8" t="s">
        <v>2197</v>
      </c>
    </row>
    <row r="72" ht="15.75" customHeight="1">
      <c r="A72" s="21" t="s">
        <v>115</v>
      </c>
      <c r="B72" s="9" t="s">
        <v>116</v>
      </c>
      <c r="C72" s="9"/>
      <c r="D72" s="9"/>
      <c r="E72" s="21">
        <f>COUNTIFS('03_BR'!$C:$C,$A72,'03_BR'!$B:$B,"Functional BR")</f>
        <v>7</v>
      </c>
      <c r="F72" s="21">
        <f>COUNTIFS('03_BR'!$C:$C,$A72,'03_BR'!$B:$B,"Non-functional BR")</f>
        <v>2</v>
      </c>
      <c r="G72" s="21">
        <f>COUNTIFS('03_BR'!$C:$C,$A72,'03_BR'!$B:$B,"Business Rule")</f>
        <v>8</v>
      </c>
      <c r="H72" s="21">
        <f>COUNTIFS('03_BR'!$C:$C,$A72,'03_BR'!$B:$B,"Business Constraint")</f>
        <v>1</v>
      </c>
      <c r="I72" s="21">
        <f>COUNTIFS('03_BR'!$C:$C,$A72,'03_BR'!$B:$B,"Business Goal")</f>
        <v>0</v>
      </c>
      <c r="J72" s="21">
        <f t="shared" ref="J72:J88" si="2">SUM(E72:I72)</f>
        <v>18</v>
      </c>
    </row>
    <row r="73" ht="15.75" customHeight="1">
      <c r="A73" s="21" t="s">
        <v>117</v>
      </c>
      <c r="B73" s="9" t="s">
        <v>118</v>
      </c>
      <c r="C73" s="9"/>
      <c r="D73" s="9"/>
      <c r="E73" s="21">
        <f>COUNTIFS('03_BR'!$C:$C,$A73,'03_BR'!$B:$B,"Functional BR")</f>
        <v>6</v>
      </c>
      <c r="F73" s="21">
        <f>COUNTIFS('03_BR'!$C:$C,$A73,'03_BR'!$B:$B,"Non-functional BR")</f>
        <v>2</v>
      </c>
      <c r="G73" s="21">
        <f>COUNTIFS('03_BR'!$C:$C,$A73,'03_BR'!$B:$B,"Business Rule")</f>
        <v>6</v>
      </c>
      <c r="H73" s="21">
        <f>COUNTIFS('03_BR'!$C:$C,$A73,'03_BR'!$B:$B,"Business Constraint")</f>
        <v>2</v>
      </c>
      <c r="I73" s="21">
        <f>COUNTIFS('03_BR'!$C:$C,$A73,'03_BR'!$B:$B,"Business Goal")</f>
        <v>0</v>
      </c>
      <c r="J73" s="21">
        <f t="shared" si="2"/>
        <v>16</v>
      </c>
    </row>
    <row r="74" ht="15.75" customHeight="1">
      <c r="A74" s="21" t="s">
        <v>119</v>
      </c>
      <c r="B74" s="9" t="s">
        <v>120</v>
      </c>
      <c r="C74" s="9"/>
      <c r="D74" s="9"/>
      <c r="E74" s="21">
        <f>COUNTIFS('03_BR'!$C:$C,$A74,'03_BR'!$B:$B,"Functional BR")</f>
        <v>12</v>
      </c>
      <c r="F74" s="21">
        <f>COUNTIFS('03_BR'!$C:$C,$A74,'03_BR'!$B:$B,"Non-functional BR")</f>
        <v>0</v>
      </c>
      <c r="G74" s="21">
        <f>COUNTIFS('03_BR'!$C:$C,$A74,'03_BR'!$B:$B,"Business Rule")</f>
        <v>12</v>
      </c>
      <c r="H74" s="21">
        <f>COUNTIFS('03_BR'!$C:$C,$A74,'03_BR'!$B:$B,"Business Constraint")</f>
        <v>1</v>
      </c>
      <c r="I74" s="21">
        <f>COUNTIFS('03_BR'!$C:$C,$A74,'03_BR'!$B:$B,"Business Goal")</f>
        <v>0</v>
      </c>
      <c r="J74" s="21">
        <f t="shared" si="2"/>
        <v>25</v>
      </c>
    </row>
    <row r="75" ht="15.75" customHeight="1">
      <c r="A75" s="21" t="s">
        <v>121</v>
      </c>
      <c r="B75" s="9" t="s">
        <v>122</v>
      </c>
      <c r="C75" s="9"/>
      <c r="D75" s="9"/>
      <c r="E75" s="21">
        <f>COUNTIFS('03_BR'!$C:$C,$A75,'03_BR'!$B:$B,"Functional BR")</f>
        <v>10</v>
      </c>
      <c r="F75" s="21">
        <f>COUNTIFS('03_BR'!$C:$C,$A75,'03_BR'!$B:$B,"Non-functional BR")</f>
        <v>2</v>
      </c>
      <c r="G75" s="21">
        <f>COUNTIFS('03_BR'!$C:$C,$A75,'03_BR'!$B:$B,"Business Rule")</f>
        <v>5</v>
      </c>
      <c r="H75" s="21">
        <f>COUNTIFS('03_BR'!$C:$C,$A75,'03_BR'!$B:$B,"Business Constraint")</f>
        <v>1</v>
      </c>
      <c r="I75" s="21">
        <f>COUNTIFS('03_BR'!$C:$C,$A75,'03_BR'!$B:$B,"Business Goal")</f>
        <v>2</v>
      </c>
      <c r="J75" s="21">
        <f t="shared" si="2"/>
        <v>20</v>
      </c>
    </row>
    <row r="76" ht="15.75" customHeight="1">
      <c r="A76" s="21" t="s">
        <v>123</v>
      </c>
      <c r="B76" s="9" t="s">
        <v>124</v>
      </c>
      <c r="C76" s="9"/>
      <c r="D76" s="9"/>
      <c r="E76" s="21">
        <f>COUNTIFS('03_BR'!$C:$C,$A76,'03_BR'!$B:$B,"Functional BR")</f>
        <v>5</v>
      </c>
      <c r="F76" s="21">
        <f>COUNTIFS('03_BR'!$C:$C,$A76,'03_BR'!$B:$B,"Non-functional BR")</f>
        <v>0</v>
      </c>
      <c r="G76" s="21">
        <f>COUNTIFS('03_BR'!$C:$C,$A76,'03_BR'!$B:$B,"Business Rule")</f>
        <v>3</v>
      </c>
      <c r="H76" s="21">
        <f>COUNTIFS('03_BR'!$C:$C,$A76,'03_BR'!$B:$B,"Business Constraint")</f>
        <v>0</v>
      </c>
      <c r="I76" s="21">
        <f>COUNTIFS('03_BR'!$C:$C,$A76,'03_BR'!$B:$B,"Business Goal")</f>
        <v>0</v>
      </c>
      <c r="J76" s="21">
        <f t="shared" si="2"/>
        <v>8</v>
      </c>
    </row>
    <row r="77" ht="15.75" customHeight="1">
      <c r="A77" s="21" t="s">
        <v>125</v>
      </c>
      <c r="B77" s="9" t="s">
        <v>126</v>
      </c>
      <c r="C77" s="9"/>
      <c r="D77" s="9"/>
      <c r="E77" s="21">
        <f>COUNTIFS('03_BR'!$C:$C,$A77,'03_BR'!$B:$B,"Functional BR")</f>
        <v>5</v>
      </c>
      <c r="F77" s="21">
        <f>COUNTIFS('03_BR'!$C:$C,$A77,'03_BR'!$B:$B,"Non-functional BR")</f>
        <v>0</v>
      </c>
      <c r="G77" s="21">
        <f>COUNTIFS('03_BR'!$C:$C,$A77,'03_BR'!$B:$B,"Business Rule")</f>
        <v>3</v>
      </c>
      <c r="H77" s="21">
        <f>COUNTIFS('03_BR'!$C:$C,$A77,'03_BR'!$B:$B,"Business Constraint")</f>
        <v>0</v>
      </c>
      <c r="I77" s="21">
        <f>COUNTIFS('03_BR'!$C:$C,$A77,'03_BR'!$B:$B,"Business Goal")</f>
        <v>0</v>
      </c>
      <c r="J77" s="21">
        <f t="shared" si="2"/>
        <v>8</v>
      </c>
    </row>
    <row r="78" ht="15.75" customHeight="1">
      <c r="A78" s="21" t="s">
        <v>127</v>
      </c>
      <c r="B78" s="9" t="s">
        <v>128</v>
      </c>
      <c r="C78" s="9"/>
      <c r="D78" s="9"/>
      <c r="E78" s="21">
        <f>COUNTIFS('03_BR'!$C:$C,$A78,'03_BR'!$B:$B,"Functional BR")</f>
        <v>11</v>
      </c>
      <c r="F78" s="21">
        <f>COUNTIFS('03_BR'!$C:$C,$A78,'03_BR'!$B:$B,"Non-functional BR")</f>
        <v>2</v>
      </c>
      <c r="G78" s="21">
        <f>COUNTIFS('03_BR'!$C:$C,$A78,'03_BR'!$B:$B,"Business Rule")</f>
        <v>8</v>
      </c>
      <c r="H78" s="21">
        <f>COUNTIFS('03_BR'!$C:$C,$A78,'03_BR'!$B:$B,"Business Constraint")</f>
        <v>0</v>
      </c>
      <c r="I78" s="21">
        <f>COUNTIFS('03_BR'!$C:$C,$A78,'03_BR'!$B:$B,"Business Goal")</f>
        <v>2</v>
      </c>
      <c r="J78" s="21">
        <f t="shared" si="2"/>
        <v>23</v>
      </c>
    </row>
    <row r="79" ht="15.75" customHeight="1">
      <c r="A79" s="21" t="s">
        <v>129</v>
      </c>
      <c r="B79" s="9" t="s">
        <v>130</v>
      </c>
      <c r="C79" s="9"/>
      <c r="D79" s="9"/>
      <c r="E79" s="21">
        <f>COUNTIFS('03_BR'!$C:$C,$A79,'03_BR'!$B:$B,"Functional BR")</f>
        <v>6</v>
      </c>
      <c r="F79" s="21">
        <f>COUNTIFS('03_BR'!$C:$C,$A79,'03_BR'!$B:$B,"Non-functional BR")</f>
        <v>0</v>
      </c>
      <c r="G79" s="21">
        <f>COUNTIFS('03_BR'!$C:$C,$A79,'03_BR'!$B:$B,"Business Rule")</f>
        <v>3</v>
      </c>
      <c r="H79" s="21">
        <f>COUNTIFS('03_BR'!$C:$C,$A79,'03_BR'!$B:$B,"Business Constraint")</f>
        <v>0</v>
      </c>
      <c r="I79" s="21">
        <f>COUNTIFS('03_BR'!$C:$C,$A79,'03_BR'!$B:$B,"Business Goal")</f>
        <v>0</v>
      </c>
      <c r="J79" s="21">
        <f t="shared" si="2"/>
        <v>9</v>
      </c>
    </row>
    <row r="80" ht="15.75" customHeight="1">
      <c r="A80" s="21" t="s">
        <v>131</v>
      </c>
      <c r="B80" s="9" t="s">
        <v>132</v>
      </c>
      <c r="C80" s="9"/>
      <c r="D80" s="9"/>
      <c r="E80" s="21">
        <f>COUNTIFS('03_BR'!$C:$C,$A80,'03_BR'!$B:$B,"Functional BR")</f>
        <v>22</v>
      </c>
      <c r="F80" s="21">
        <f>COUNTIFS('03_BR'!$C:$C,$A80,'03_BR'!$B:$B,"Non-functional BR")</f>
        <v>5</v>
      </c>
      <c r="G80" s="21">
        <f>COUNTIFS('03_BR'!$C:$C,$A80,'03_BR'!$B:$B,"Business Rule")</f>
        <v>16</v>
      </c>
      <c r="H80" s="21">
        <f>COUNTIFS('03_BR'!$C:$C,$A80,'03_BR'!$B:$B,"Business Constraint")</f>
        <v>6</v>
      </c>
      <c r="I80" s="21">
        <f>COUNTIFS('03_BR'!$C:$C,$A80,'03_BR'!$B:$B,"Business Goal")</f>
        <v>2</v>
      </c>
      <c r="J80" s="21">
        <f t="shared" si="2"/>
        <v>51</v>
      </c>
    </row>
    <row r="81" ht="15.75" customHeight="1">
      <c r="A81" s="21" t="s">
        <v>133</v>
      </c>
      <c r="B81" s="9" t="s">
        <v>134</v>
      </c>
      <c r="C81" s="9"/>
      <c r="D81" s="9"/>
      <c r="E81" s="21">
        <f>COUNTIFS('03_BR'!$C:$C,$A81,'03_BR'!$B:$B,"Functional BR")</f>
        <v>5</v>
      </c>
      <c r="F81" s="21">
        <f>COUNTIFS('03_BR'!$C:$C,$A81,'03_BR'!$B:$B,"Non-functional BR")</f>
        <v>0</v>
      </c>
      <c r="G81" s="21">
        <f>COUNTIFS('03_BR'!$C:$C,$A81,'03_BR'!$B:$B,"Business Rule")</f>
        <v>5</v>
      </c>
      <c r="H81" s="21">
        <f>COUNTIFS('03_BR'!$C:$C,$A81,'03_BR'!$B:$B,"Business Constraint")</f>
        <v>0</v>
      </c>
      <c r="I81" s="21">
        <f>COUNTIFS('03_BR'!$C:$C,$A81,'03_BR'!$B:$B,"Business Goal")</f>
        <v>1</v>
      </c>
      <c r="J81" s="21">
        <f t="shared" si="2"/>
        <v>11</v>
      </c>
    </row>
    <row r="82" ht="15.75" customHeight="1">
      <c r="A82" s="21" t="s">
        <v>135</v>
      </c>
      <c r="B82" s="9" t="s">
        <v>136</v>
      </c>
      <c r="C82" s="9"/>
      <c r="D82" s="9"/>
      <c r="E82" s="21">
        <f>COUNTIFS('03_BR'!$C:$C,$A82,'03_BR'!$B:$B,"Functional BR")</f>
        <v>5</v>
      </c>
      <c r="F82" s="21">
        <f>COUNTIFS('03_BR'!$C:$C,$A82,'03_BR'!$B:$B,"Non-functional BR")</f>
        <v>0</v>
      </c>
      <c r="G82" s="21">
        <f>COUNTIFS('03_BR'!$C:$C,$A82,'03_BR'!$B:$B,"Business Rule")</f>
        <v>6</v>
      </c>
      <c r="H82" s="21">
        <f>COUNTIFS('03_BR'!$C:$C,$A82,'03_BR'!$B:$B,"Business Constraint")</f>
        <v>0</v>
      </c>
      <c r="I82" s="21">
        <f>COUNTIFS('03_BR'!$C:$C,$A82,'03_BR'!$B:$B,"Business Goal")</f>
        <v>1</v>
      </c>
      <c r="J82" s="21">
        <f t="shared" si="2"/>
        <v>12</v>
      </c>
    </row>
    <row r="83" ht="15.75" customHeight="1">
      <c r="A83" s="21" t="s">
        <v>137</v>
      </c>
      <c r="B83" s="9" t="s">
        <v>138</v>
      </c>
      <c r="C83" s="9"/>
      <c r="D83" s="9"/>
      <c r="E83" s="21">
        <f>COUNTIFS('03_BR'!$C:$C,$A83,'03_BR'!$B:$B,"Functional BR")</f>
        <v>6</v>
      </c>
      <c r="F83" s="21">
        <f>COUNTIFS('03_BR'!$C:$C,$A83,'03_BR'!$B:$B,"Non-functional BR")</f>
        <v>0</v>
      </c>
      <c r="G83" s="21">
        <f>COUNTIFS('03_BR'!$C:$C,$A83,'03_BR'!$B:$B,"Business Rule")</f>
        <v>4</v>
      </c>
      <c r="H83" s="21">
        <f>COUNTIFS('03_BR'!$C:$C,$A83,'03_BR'!$B:$B,"Business Constraint")</f>
        <v>0</v>
      </c>
      <c r="I83" s="21">
        <f>COUNTIFS('03_BR'!$C:$C,$A83,'03_BR'!$B:$B,"Business Goal")</f>
        <v>1</v>
      </c>
      <c r="J83" s="21">
        <f t="shared" si="2"/>
        <v>11</v>
      </c>
    </row>
    <row r="84" ht="15.75" customHeight="1">
      <c r="A84" s="21" t="s">
        <v>139</v>
      </c>
      <c r="B84" s="9" t="s">
        <v>140</v>
      </c>
      <c r="C84" s="9"/>
      <c r="D84" s="9"/>
      <c r="E84" s="21">
        <f>COUNTIFS('03_BR'!$C:$C,$A84,'03_BR'!$B:$B,"Functional BR")</f>
        <v>5</v>
      </c>
      <c r="F84" s="21">
        <f>COUNTIFS('03_BR'!$C:$C,$A84,'03_BR'!$B:$B,"Non-functional BR")</f>
        <v>1</v>
      </c>
      <c r="G84" s="21">
        <f>COUNTIFS('03_BR'!$C:$C,$A84,'03_BR'!$B:$B,"Business Rule")</f>
        <v>1</v>
      </c>
      <c r="H84" s="21">
        <f>COUNTIFS('03_BR'!$C:$C,$A84,'03_BR'!$B:$B,"Business Constraint")</f>
        <v>0</v>
      </c>
      <c r="I84" s="21">
        <f>COUNTIFS('03_BR'!$C:$C,$A84,'03_BR'!$B:$B,"Business Goal")</f>
        <v>0</v>
      </c>
      <c r="J84" s="21">
        <f t="shared" si="2"/>
        <v>7</v>
      </c>
    </row>
    <row r="85" ht="15.75" customHeight="1">
      <c r="A85" s="21" t="s">
        <v>141</v>
      </c>
      <c r="B85" s="9" t="s">
        <v>142</v>
      </c>
      <c r="C85" s="9"/>
      <c r="D85" s="9"/>
      <c r="E85" s="21">
        <f>COUNTIFS('03_BR'!$C:$C,$A85,'03_BR'!$B:$B,"Functional BR")</f>
        <v>5</v>
      </c>
      <c r="F85" s="21">
        <f>COUNTIFS('03_BR'!$C:$C,$A85,'03_BR'!$B:$B,"Non-functional BR")</f>
        <v>0</v>
      </c>
      <c r="G85" s="21">
        <f>COUNTIFS('03_BR'!$C:$C,$A85,'03_BR'!$B:$B,"Business Rule")</f>
        <v>3</v>
      </c>
      <c r="H85" s="21">
        <f>COUNTIFS('03_BR'!$C:$C,$A85,'03_BR'!$B:$B,"Business Constraint")</f>
        <v>1</v>
      </c>
      <c r="I85" s="21">
        <f>COUNTIFS('03_BR'!$C:$C,$A85,'03_BR'!$B:$B,"Business Goal")</f>
        <v>0</v>
      </c>
      <c r="J85" s="21">
        <f t="shared" si="2"/>
        <v>9</v>
      </c>
    </row>
    <row r="86" ht="15.75" customHeight="1">
      <c r="A86" s="21" t="s">
        <v>143</v>
      </c>
      <c r="B86" s="9" t="s">
        <v>144</v>
      </c>
      <c r="C86" s="9"/>
      <c r="D86" s="9"/>
      <c r="E86" s="21">
        <f>COUNTIFS('03_BR'!$C:$C,$A86,'03_BR'!$B:$B,"Functional BR")</f>
        <v>7</v>
      </c>
      <c r="F86" s="21">
        <f>COUNTIFS('03_BR'!$C:$C,$A86,'03_BR'!$B:$B,"Non-functional BR")</f>
        <v>1</v>
      </c>
      <c r="G86" s="21">
        <f>COUNTIFS('03_BR'!$C:$C,$A86,'03_BR'!$B:$B,"Business Rule")</f>
        <v>2</v>
      </c>
      <c r="H86" s="21">
        <f>COUNTIFS('03_BR'!$C:$C,$A86,'03_BR'!$B:$B,"Business Constraint")</f>
        <v>0</v>
      </c>
      <c r="I86" s="21">
        <f>COUNTIFS('03_BR'!$C:$C,$A86,'03_BR'!$B:$B,"Business Goal")</f>
        <v>0</v>
      </c>
      <c r="J86" s="21">
        <f t="shared" si="2"/>
        <v>10</v>
      </c>
    </row>
    <row r="87" ht="15.75" customHeight="1">
      <c r="A87" s="21" t="s">
        <v>145</v>
      </c>
      <c r="B87" s="9" t="s">
        <v>146</v>
      </c>
      <c r="C87" s="9"/>
      <c r="D87" s="9"/>
      <c r="E87" s="21">
        <f>COUNTIFS('03_BR'!$C:$C,$A87,'03_BR'!$B:$B,"Functional BR")</f>
        <v>4</v>
      </c>
      <c r="F87" s="21">
        <f>COUNTIFS('03_BR'!$C:$C,$A87,'03_BR'!$B:$B,"Non-functional BR")</f>
        <v>0</v>
      </c>
      <c r="G87" s="21">
        <f>COUNTIFS('03_BR'!$C:$C,$A87,'03_BR'!$B:$B,"Business Rule")</f>
        <v>0</v>
      </c>
      <c r="H87" s="21">
        <f>COUNTIFS('03_BR'!$C:$C,$A87,'03_BR'!$B:$B,"Business Constraint")</f>
        <v>0</v>
      </c>
      <c r="I87" s="21">
        <f>COUNTIFS('03_BR'!$C:$C,$A87,'03_BR'!$B:$B,"Business Goal")</f>
        <v>1</v>
      </c>
      <c r="J87" s="21">
        <f t="shared" si="2"/>
        <v>5</v>
      </c>
    </row>
    <row r="88" ht="15.75" customHeight="1">
      <c r="A88" s="21" t="s">
        <v>147</v>
      </c>
      <c r="B88" s="9" t="s">
        <v>148</v>
      </c>
      <c r="C88" s="9"/>
      <c r="D88" s="9"/>
      <c r="E88" s="21">
        <f>COUNTIFS('03_BR'!$C:$C,$A88,'03_BR'!$B:$B,"Functional BR")</f>
        <v>3</v>
      </c>
      <c r="F88" s="21">
        <f>COUNTIFS('03_BR'!$C:$C,$A88,'03_BR'!$B:$B,"Non-functional BR")</f>
        <v>26</v>
      </c>
      <c r="G88" s="21">
        <f>COUNTIFS('03_BR'!$C:$C,$A88,'03_BR'!$B:$B,"Business Rule")</f>
        <v>0</v>
      </c>
      <c r="H88" s="21">
        <f>COUNTIFS('03_BR'!$C:$C,$A88,'03_BR'!$B:$B,"Business Constraint")</f>
        <v>10</v>
      </c>
      <c r="I88" s="21">
        <f>COUNTIFS('03_BR'!$C:$C,$A88,'03_BR'!$B:$B,"Business Goal")</f>
        <v>4</v>
      </c>
      <c r="J88" s="21">
        <f t="shared" si="2"/>
        <v>43</v>
      </c>
    </row>
    <row r="89" ht="15.75" customHeight="1">
      <c r="A89" s="47" t="s">
        <v>2197</v>
      </c>
      <c r="B89" s="48"/>
      <c r="C89" s="48"/>
      <c r="D89" s="48"/>
      <c r="E89" s="47">
        <f t="shared" ref="E89:J89" si="3">SUM(E72:E88)</f>
        <v>124</v>
      </c>
      <c r="F89" s="47">
        <f t="shared" si="3"/>
        <v>41</v>
      </c>
      <c r="G89" s="47">
        <f t="shared" si="3"/>
        <v>85</v>
      </c>
      <c r="H89" s="47">
        <f t="shared" si="3"/>
        <v>22</v>
      </c>
      <c r="I89" s="47">
        <f t="shared" si="3"/>
        <v>14</v>
      </c>
      <c r="J89" s="47">
        <f t="shared" si="3"/>
        <v>286</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67"/>
  <conditionalFormatting sqref="E5:E67">
    <cfRule type="expression" dxfId="0" priority="1">
      <formula>AND($E5=0,$G5=0)</formula>
    </cfRule>
  </conditionalFormatting>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fitToPage="1"/>
  </sheetPr>
  <sheetViews>
    <sheetView showGridLines="0"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4.43" defaultRowHeight="15.0"/>
  <cols>
    <col customWidth="1" min="1" max="1" width="10.0"/>
    <col customWidth="1" min="2" max="2" width="20.0"/>
    <col customWidth="1" min="3" max="3" width="18.0"/>
    <col customWidth="1" min="4" max="4" width="44.0"/>
    <col customWidth="1" min="5" max="5" width="22.0"/>
    <col customWidth="1" min="6" max="6" width="20.0"/>
    <col customWidth="1" min="7" max="7" width="50.0"/>
    <col customWidth="1" min="8" max="8" width="10.0"/>
    <col customWidth="1" min="9" max="9" width="40.0"/>
    <col customWidth="1" min="10" max="10" width="16.0"/>
    <col customWidth="1" min="11" max="26" width="8.71"/>
  </cols>
  <sheetData>
    <row r="1" ht="25.5" customHeight="1">
      <c r="A1" s="1" t="s">
        <v>2198</v>
      </c>
    </row>
    <row r="2">
      <c r="A2" s="2" t="s">
        <v>2199</v>
      </c>
    </row>
    <row r="4" ht="33.75" customHeight="1">
      <c r="A4" s="8" t="s">
        <v>111</v>
      </c>
      <c r="B4" s="8" t="s">
        <v>7</v>
      </c>
      <c r="C4" s="8" t="s">
        <v>2200</v>
      </c>
      <c r="D4" s="8" t="s">
        <v>2201</v>
      </c>
      <c r="E4" s="8" t="s">
        <v>2202</v>
      </c>
      <c r="F4" s="8" t="s">
        <v>2203</v>
      </c>
      <c r="G4" s="8" t="s">
        <v>177</v>
      </c>
      <c r="H4" s="8" t="s">
        <v>2204</v>
      </c>
      <c r="I4" s="8" t="s">
        <v>1794</v>
      </c>
      <c r="J4" s="8" t="s">
        <v>2205</v>
      </c>
    </row>
    <row r="5">
      <c r="A5" s="25" t="s">
        <v>2206</v>
      </c>
      <c r="B5" s="9" t="s">
        <v>2207</v>
      </c>
      <c r="C5" s="9" t="s">
        <v>2208</v>
      </c>
      <c r="D5" s="9" t="s">
        <v>2209</v>
      </c>
      <c r="E5" s="49">
        <v>5.0</v>
      </c>
      <c r="F5" s="9" t="s">
        <v>2210</v>
      </c>
      <c r="G5" s="9" t="s">
        <v>2211</v>
      </c>
      <c r="H5" s="21">
        <f>COUNTIF('03_BR'!$K:$K,"*"&amp;A5&amp;"*")</f>
        <v>1</v>
      </c>
      <c r="I5" s="9" t="s">
        <v>1216</v>
      </c>
      <c r="J5" s="9" t="s">
        <v>2212</v>
      </c>
    </row>
    <row r="6">
      <c r="A6" s="25" t="s">
        <v>2213</v>
      </c>
      <c r="B6" s="9" t="s">
        <v>2207</v>
      </c>
      <c r="C6" s="9" t="s">
        <v>2214</v>
      </c>
      <c r="D6" s="9" t="s">
        <v>2215</v>
      </c>
      <c r="E6" s="49">
        <v>5.0</v>
      </c>
      <c r="F6" s="9" t="s">
        <v>2216</v>
      </c>
      <c r="G6" s="9" t="s">
        <v>2217</v>
      </c>
      <c r="H6" s="21">
        <f>COUNTIF('03_BR'!$K:$K,"*"&amp;A6&amp;"*")</f>
        <v>1</v>
      </c>
      <c r="I6" s="9" t="s">
        <v>1216</v>
      </c>
      <c r="J6" s="9" t="s">
        <v>2212</v>
      </c>
    </row>
    <row r="7">
      <c r="A7" s="25" t="s">
        <v>2218</v>
      </c>
      <c r="B7" s="9" t="s">
        <v>2207</v>
      </c>
      <c r="C7" s="9" t="s">
        <v>2219</v>
      </c>
      <c r="D7" s="9" t="s">
        <v>2220</v>
      </c>
      <c r="E7" s="49">
        <v>60.0</v>
      </c>
      <c r="F7" s="9" t="s">
        <v>2221</v>
      </c>
      <c r="G7" s="9" t="s">
        <v>2222</v>
      </c>
      <c r="H7" s="21">
        <f>COUNTIF('03_BR'!$K:$K,"*"&amp;A7&amp;"*")</f>
        <v>1</v>
      </c>
      <c r="I7" s="9" t="s">
        <v>1216</v>
      </c>
      <c r="J7" s="9" t="s">
        <v>2212</v>
      </c>
    </row>
    <row r="8">
      <c r="A8" s="25" t="s">
        <v>2223</v>
      </c>
      <c r="B8" s="9" t="s">
        <v>2207</v>
      </c>
      <c r="C8" s="9" t="s">
        <v>2224</v>
      </c>
      <c r="D8" s="9" t="s">
        <v>2225</v>
      </c>
      <c r="E8" s="49">
        <v>5.0</v>
      </c>
      <c r="F8" s="9" t="s">
        <v>2216</v>
      </c>
      <c r="G8" s="9" t="s">
        <v>2226</v>
      </c>
      <c r="H8" s="21">
        <f>COUNTIF('03_BR'!$K:$K,"*"&amp;A8&amp;"*")</f>
        <v>1</v>
      </c>
      <c r="I8" s="9" t="s">
        <v>1222</v>
      </c>
      <c r="J8" s="9" t="s">
        <v>2212</v>
      </c>
    </row>
    <row r="9">
      <c r="A9" s="25" t="s">
        <v>2227</v>
      </c>
      <c r="B9" s="9" t="s">
        <v>2207</v>
      </c>
      <c r="C9" s="9" t="s">
        <v>2228</v>
      </c>
      <c r="D9" s="9" t="s">
        <v>2229</v>
      </c>
      <c r="E9" s="49">
        <v>15.0</v>
      </c>
      <c r="F9" s="9" t="s">
        <v>2210</v>
      </c>
      <c r="G9" s="9" t="s">
        <v>2230</v>
      </c>
      <c r="H9" s="21">
        <f>COUNTIF('03_BR'!$K:$K,"*"&amp;A9&amp;"*")</f>
        <v>1</v>
      </c>
      <c r="I9" s="9" t="s">
        <v>1222</v>
      </c>
      <c r="J9" s="9" t="s">
        <v>2212</v>
      </c>
    </row>
    <row r="10">
      <c r="A10" s="25" t="s">
        <v>2231</v>
      </c>
      <c r="B10" s="9" t="s">
        <v>2207</v>
      </c>
      <c r="C10" s="9" t="s">
        <v>2232</v>
      </c>
      <c r="D10" s="9" t="s">
        <v>2233</v>
      </c>
      <c r="E10" s="49">
        <v>15.0</v>
      </c>
      <c r="F10" s="9" t="s">
        <v>2210</v>
      </c>
      <c r="G10" s="9" t="s">
        <v>2234</v>
      </c>
      <c r="H10" s="21">
        <f>COUNTIF('03_BR'!$K:$K,"*"&amp;A10&amp;"*")</f>
        <v>1</v>
      </c>
      <c r="I10" s="9" t="s">
        <v>1227</v>
      </c>
      <c r="J10" s="9" t="s">
        <v>2212</v>
      </c>
    </row>
    <row r="11">
      <c r="A11" s="25" t="s">
        <v>2235</v>
      </c>
      <c r="B11" s="9" t="s">
        <v>2207</v>
      </c>
      <c r="C11" s="9" t="s">
        <v>2236</v>
      </c>
      <c r="D11" s="9" t="s">
        <v>2237</v>
      </c>
      <c r="E11" s="49">
        <v>7.0</v>
      </c>
      <c r="F11" s="9" t="s">
        <v>2238</v>
      </c>
      <c r="G11" s="9" t="s">
        <v>2239</v>
      </c>
      <c r="H11" s="21">
        <f>COUNTIF('03_BR'!$K:$K,"*"&amp;A11&amp;"*")</f>
        <v>1</v>
      </c>
      <c r="I11" s="9" t="s">
        <v>1227</v>
      </c>
      <c r="J11" s="9" t="s">
        <v>2212</v>
      </c>
    </row>
    <row r="12">
      <c r="A12" s="25" t="s">
        <v>1215</v>
      </c>
      <c r="B12" s="9" t="s">
        <v>2207</v>
      </c>
      <c r="C12" s="9" t="s">
        <v>2240</v>
      </c>
      <c r="D12" s="9" t="s">
        <v>2241</v>
      </c>
      <c r="E12" s="49">
        <v>8.0</v>
      </c>
      <c r="F12" s="9" t="s">
        <v>2242</v>
      </c>
      <c r="G12" s="9" t="s">
        <v>2243</v>
      </c>
      <c r="H12" s="21">
        <f>COUNTIF('03_BR'!$K:$K,"*"&amp;A12&amp;"*")</f>
        <v>1</v>
      </c>
      <c r="I12" s="9" t="s">
        <v>1210</v>
      </c>
      <c r="J12" s="9" t="s">
        <v>2212</v>
      </c>
    </row>
    <row r="13">
      <c r="A13" s="25" t="s">
        <v>1237</v>
      </c>
      <c r="B13" s="9" t="s">
        <v>2207</v>
      </c>
      <c r="C13" s="9" t="s">
        <v>2244</v>
      </c>
      <c r="D13" s="9" t="s">
        <v>2245</v>
      </c>
      <c r="E13" s="49">
        <v>5.0</v>
      </c>
      <c r="F13" s="9" t="s">
        <v>2246</v>
      </c>
      <c r="G13" s="9" t="s">
        <v>2247</v>
      </c>
      <c r="H13" s="21">
        <f>COUNTIF('03_BR'!$K:$K,"*"&amp;A13&amp;"*")</f>
        <v>1</v>
      </c>
      <c r="I13" s="9" t="s">
        <v>1233</v>
      </c>
      <c r="J13" s="9" t="s">
        <v>2212</v>
      </c>
    </row>
    <row r="14">
      <c r="A14" s="25" t="s">
        <v>2248</v>
      </c>
      <c r="B14" s="9" t="s">
        <v>2207</v>
      </c>
      <c r="C14" s="9" t="s">
        <v>2249</v>
      </c>
      <c r="D14" s="9" t="s">
        <v>2250</v>
      </c>
      <c r="E14" s="49">
        <v>100.0</v>
      </c>
      <c r="F14" s="9" t="s">
        <v>2251</v>
      </c>
      <c r="G14" s="9" t="s">
        <v>2252</v>
      </c>
      <c r="H14" s="21">
        <f>COUNTIF('03_BR'!$K:$K,"*"&amp;A14&amp;"*")</f>
        <v>1</v>
      </c>
      <c r="I14" s="9" t="s">
        <v>1125</v>
      </c>
      <c r="J14" s="9" t="s">
        <v>2212</v>
      </c>
    </row>
    <row r="15">
      <c r="A15" s="25" t="s">
        <v>2253</v>
      </c>
      <c r="B15" s="9" t="s">
        <v>2207</v>
      </c>
      <c r="C15" s="9" t="s">
        <v>2254</v>
      </c>
      <c r="D15" s="9" t="s">
        <v>2255</v>
      </c>
      <c r="E15" s="49">
        <v>10.0</v>
      </c>
      <c r="F15" s="9" t="s">
        <v>2256</v>
      </c>
      <c r="G15" s="9" t="s">
        <v>2257</v>
      </c>
      <c r="H15" s="21">
        <f>COUNTIF('03_BR'!$K:$K,"*"&amp;A15&amp;"*")</f>
        <v>1</v>
      </c>
      <c r="I15" s="9" t="s">
        <v>1125</v>
      </c>
      <c r="J15" s="9" t="s">
        <v>2212</v>
      </c>
    </row>
    <row r="16">
      <c r="A16" s="25" t="s">
        <v>2258</v>
      </c>
      <c r="B16" s="9" t="s">
        <v>120</v>
      </c>
      <c r="C16" s="9" t="s">
        <v>2259</v>
      </c>
      <c r="D16" s="9" t="s">
        <v>2260</v>
      </c>
      <c r="E16" s="49">
        <v>20.0</v>
      </c>
      <c r="F16" s="9" t="s">
        <v>2261</v>
      </c>
      <c r="G16" s="9" t="s">
        <v>2262</v>
      </c>
      <c r="H16" s="21">
        <f>COUNTIF('03_BR'!$K:$K,"*"&amp;A16&amp;"*")</f>
        <v>2</v>
      </c>
      <c r="I16" s="9" t="s">
        <v>2263</v>
      </c>
      <c r="J16" s="9" t="s">
        <v>2212</v>
      </c>
    </row>
    <row r="17">
      <c r="A17" s="25" t="s">
        <v>2264</v>
      </c>
      <c r="B17" s="9" t="s">
        <v>120</v>
      </c>
      <c r="C17" s="9" t="s">
        <v>2265</v>
      </c>
      <c r="D17" s="9" t="s">
        <v>2266</v>
      </c>
      <c r="E17" s="49">
        <v>80.0</v>
      </c>
      <c r="F17" s="9" t="s">
        <v>2267</v>
      </c>
      <c r="G17" s="9" t="s">
        <v>2268</v>
      </c>
      <c r="H17" s="21">
        <f>COUNTIF('03_BR'!$K:$K,"*"&amp;A17&amp;"*")</f>
        <v>2</v>
      </c>
      <c r="I17" s="9" t="s">
        <v>2263</v>
      </c>
      <c r="J17" s="9" t="s">
        <v>2212</v>
      </c>
    </row>
    <row r="18">
      <c r="A18" s="25" t="s">
        <v>2269</v>
      </c>
      <c r="B18" s="9" t="s">
        <v>120</v>
      </c>
      <c r="C18" s="9" t="s">
        <v>2270</v>
      </c>
      <c r="D18" s="9" t="s">
        <v>2271</v>
      </c>
      <c r="E18" s="49">
        <v>30.0</v>
      </c>
      <c r="F18" s="9" t="s">
        <v>2267</v>
      </c>
      <c r="G18" s="9" t="s">
        <v>2272</v>
      </c>
      <c r="H18" s="21">
        <f>COUNTIF('03_BR'!$K:$K,"*"&amp;A18&amp;"*")</f>
        <v>1</v>
      </c>
      <c r="I18" s="9" t="s">
        <v>1284</v>
      </c>
      <c r="J18" s="9" t="s">
        <v>2212</v>
      </c>
    </row>
    <row r="19">
      <c r="A19" s="25" t="s">
        <v>2273</v>
      </c>
      <c r="B19" s="9" t="s">
        <v>120</v>
      </c>
      <c r="C19" s="9" t="s">
        <v>2274</v>
      </c>
      <c r="D19" s="9" t="s">
        <v>2275</v>
      </c>
      <c r="E19" s="49">
        <v>50.0</v>
      </c>
      <c r="F19" s="9" t="s">
        <v>2267</v>
      </c>
      <c r="G19" s="9" t="s">
        <v>2276</v>
      </c>
      <c r="H19" s="21">
        <f>COUNTIF('03_BR'!$K:$K,"*"&amp;A19&amp;"*")</f>
        <v>1</v>
      </c>
      <c r="I19" s="9" t="s">
        <v>1284</v>
      </c>
      <c r="J19" s="9" t="s">
        <v>2212</v>
      </c>
    </row>
    <row r="20">
      <c r="A20" s="25" t="s">
        <v>2277</v>
      </c>
      <c r="B20" s="9" t="s">
        <v>120</v>
      </c>
      <c r="C20" s="9" t="s">
        <v>2278</v>
      </c>
      <c r="D20" s="9" t="s">
        <v>2279</v>
      </c>
      <c r="E20" s="50">
        <v>3000000.0</v>
      </c>
      <c r="F20" s="9" t="s">
        <v>2280</v>
      </c>
      <c r="G20" s="9" t="s">
        <v>2281</v>
      </c>
      <c r="H20" s="21">
        <f>COUNTIF('03_BR'!$K:$K,"*"&amp;A20&amp;"*")</f>
        <v>2</v>
      </c>
      <c r="I20" s="9" t="s">
        <v>2263</v>
      </c>
      <c r="J20" s="9" t="s">
        <v>2212</v>
      </c>
    </row>
    <row r="21" ht="15.75" customHeight="1">
      <c r="A21" s="25" t="s">
        <v>1323</v>
      </c>
      <c r="B21" s="9" t="s">
        <v>120</v>
      </c>
      <c r="C21" s="9" t="s">
        <v>2282</v>
      </c>
      <c r="D21" s="9" t="s">
        <v>2283</v>
      </c>
      <c r="E21" s="50">
        <v>1000000.0</v>
      </c>
      <c r="F21" s="9" t="s">
        <v>2280</v>
      </c>
      <c r="G21" s="9" t="s">
        <v>2284</v>
      </c>
      <c r="H21" s="21">
        <f>COUNTIF('03_BR'!$K:$K,"*"&amp;A21&amp;"*")</f>
        <v>1</v>
      </c>
      <c r="I21" s="9" t="s">
        <v>1318</v>
      </c>
      <c r="J21" s="9" t="s">
        <v>2212</v>
      </c>
    </row>
    <row r="22" ht="15.75" customHeight="1">
      <c r="A22" s="25" t="s">
        <v>2285</v>
      </c>
      <c r="B22" s="9" t="s">
        <v>120</v>
      </c>
      <c r="C22" s="9" t="s">
        <v>2286</v>
      </c>
      <c r="D22" s="9" t="s">
        <v>2287</v>
      </c>
      <c r="E22" s="49">
        <v>5.0</v>
      </c>
      <c r="F22" s="9" t="s">
        <v>2288</v>
      </c>
      <c r="G22" s="9" t="s">
        <v>2289</v>
      </c>
      <c r="H22" s="21">
        <f>COUNTIF('03_BR'!$K:$K,"*"&amp;A22&amp;"*")</f>
        <v>1</v>
      </c>
      <c r="I22" s="9" t="s">
        <v>1289</v>
      </c>
      <c r="J22" s="9" t="s">
        <v>2212</v>
      </c>
    </row>
    <row r="23" ht="15.75" customHeight="1">
      <c r="A23" s="25" t="s">
        <v>1124</v>
      </c>
      <c r="B23" s="9" t="s">
        <v>120</v>
      </c>
      <c r="C23" s="9" t="s">
        <v>2290</v>
      </c>
      <c r="D23" s="9" t="s">
        <v>2291</v>
      </c>
      <c r="E23" s="49">
        <v>5.0</v>
      </c>
      <c r="F23" s="9" t="s">
        <v>2292</v>
      </c>
      <c r="G23" s="9" t="s">
        <v>2293</v>
      </c>
      <c r="H23" s="21">
        <f>COUNTIF('03_BR'!$K:$K,"*"&amp;A23&amp;"*")</f>
        <v>2</v>
      </c>
      <c r="I23" s="9" t="s">
        <v>2294</v>
      </c>
      <c r="J23" s="9" t="s">
        <v>2212</v>
      </c>
    </row>
    <row r="24" ht="15.75" customHeight="1">
      <c r="A24" s="25" t="s">
        <v>2295</v>
      </c>
      <c r="B24" s="9" t="s">
        <v>120</v>
      </c>
      <c r="C24" s="9" t="s">
        <v>2296</v>
      </c>
      <c r="D24" s="9" t="s">
        <v>2297</v>
      </c>
      <c r="E24" s="49">
        <v>24.0</v>
      </c>
      <c r="F24" s="9" t="s">
        <v>2298</v>
      </c>
      <c r="G24" s="9" t="s">
        <v>2299</v>
      </c>
      <c r="H24" s="21">
        <f>COUNTIF('03_BR'!$K:$K,"*"&amp;A24&amp;"*")</f>
        <v>1</v>
      </c>
      <c r="I24" s="9" t="s">
        <v>1298</v>
      </c>
      <c r="J24" s="9" t="s">
        <v>2212</v>
      </c>
    </row>
    <row r="25" ht="15.75" customHeight="1">
      <c r="A25" s="25" t="s">
        <v>2300</v>
      </c>
      <c r="B25" s="9" t="s">
        <v>120</v>
      </c>
      <c r="C25" s="9" t="s">
        <v>2301</v>
      </c>
      <c r="D25" s="9" t="s">
        <v>2302</v>
      </c>
      <c r="E25" s="49">
        <v>7.0</v>
      </c>
      <c r="F25" s="9" t="s">
        <v>2238</v>
      </c>
      <c r="G25" s="9" t="s">
        <v>2303</v>
      </c>
      <c r="H25" s="21">
        <f>COUNTIF('03_BR'!$K:$K,"*"&amp;A25&amp;"*")</f>
        <v>1</v>
      </c>
      <c r="I25" s="9" t="s">
        <v>1298</v>
      </c>
      <c r="J25" s="9" t="s">
        <v>2212</v>
      </c>
    </row>
    <row r="26" ht="15.75" customHeight="1">
      <c r="A26" s="25" t="s">
        <v>2304</v>
      </c>
      <c r="B26" s="9" t="s">
        <v>120</v>
      </c>
      <c r="C26" s="9" t="s">
        <v>2305</v>
      </c>
      <c r="D26" s="9" t="s">
        <v>2306</v>
      </c>
      <c r="E26" s="49">
        <v>30.0</v>
      </c>
      <c r="F26" s="9" t="s">
        <v>2210</v>
      </c>
      <c r="G26" s="9" t="s">
        <v>2307</v>
      </c>
      <c r="H26" s="21">
        <f>COUNTIF('03_BR'!$K:$K,"*"&amp;A26&amp;"*")</f>
        <v>1</v>
      </c>
      <c r="I26" s="9" t="s">
        <v>1409</v>
      </c>
      <c r="J26" s="9" t="s">
        <v>2212</v>
      </c>
    </row>
    <row r="27" ht="15.75" customHeight="1">
      <c r="A27" s="25" t="s">
        <v>1357</v>
      </c>
      <c r="B27" s="9" t="s">
        <v>120</v>
      </c>
      <c r="C27" s="9" t="s">
        <v>2308</v>
      </c>
      <c r="D27" s="9" t="s">
        <v>2309</v>
      </c>
      <c r="E27" s="49">
        <v>15.0</v>
      </c>
      <c r="F27" s="9" t="s">
        <v>2210</v>
      </c>
      <c r="G27" s="9" t="s">
        <v>2310</v>
      </c>
      <c r="H27" s="21">
        <f>COUNTIF('03_BR'!$K:$K,"*"&amp;A27&amp;"*")</f>
        <v>1</v>
      </c>
      <c r="I27" s="9" t="s">
        <v>1352</v>
      </c>
      <c r="J27" s="9" t="s">
        <v>2212</v>
      </c>
    </row>
    <row r="28" ht="15.75" customHeight="1">
      <c r="A28" s="25" t="s">
        <v>1278</v>
      </c>
      <c r="B28" s="9" t="s">
        <v>120</v>
      </c>
      <c r="C28" s="9" t="s">
        <v>2311</v>
      </c>
      <c r="D28" s="9" t="s">
        <v>2312</v>
      </c>
      <c r="E28" s="49">
        <v>10.0</v>
      </c>
      <c r="F28" s="9" t="s">
        <v>2313</v>
      </c>
      <c r="G28" s="9" t="s">
        <v>2314</v>
      </c>
      <c r="H28" s="21">
        <f>COUNTIF('03_BR'!$K:$K,"*"&amp;A28&amp;"*")</f>
        <v>1</v>
      </c>
      <c r="I28" s="9" t="s">
        <v>1274</v>
      </c>
      <c r="J28" s="9" t="s">
        <v>2212</v>
      </c>
    </row>
    <row r="29" ht="15.75" customHeight="1">
      <c r="A29" s="25" t="s">
        <v>2315</v>
      </c>
      <c r="B29" s="9" t="s">
        <v>120</v>
      </c>
      <c r="C29" s="9" t="s">
        <v>2316</v>
      </c>
      <c r="D29" s="9" t="s">
        <v>2317</v>
      </c>
      <c r="E29" s="51" t="s">
        <v>2318</v>
      </c>
      <c r="F29" s="9"/>
      <c r="G29" s="9" t="s">
        <v>2319</v>
      </c>
      <c r="H29" s="21">
        <f>COUNTIF('03_BR'!$K:$K,"*"&amp;A29&amp;"*")</f>
        <v>1</v>
      </c>
      <c r="I29" s="9" t="s">
        <v>1415</v>
      </c>
      <c r="J29" s="9" t="s">
        <v>2212</v>
      </c>
    </row>
    <row r="30" ht="15.75" customHeight="1">
      <c r="A30" s="25" t="s">
        <v>2320</v>
      </c>
      <c r="B30" s="9" t="s">
        <v>2321</v>
      </c>
      <c r="C30" s="9" t="s">
        <v>2322</v>
      </c>
      <c r="D30" s="9" t="s">
        <v>2323</v>
      </c>
      <c r="E30" s="50">
        <v>10000.0</v>
      </c>
      <c r="F30" s="9" t="s">
        <v>2280</v>
      </c>
      <c r="G30" s="9" t="s">
        <v>2324</v>
      </c>
      <c r="H30" s="21">
        <f>COUNTIF('03_BR'!$K:$K,"*"&amp;A30&amp;"*")</f>
        <v>1</v>
      </c>
      <c r="I30" s="9" t="s">
        <v>1517</v>
      </c>
      <c r="J30" s="9" t="s">
        <v>2212</v>
      </c>
    </row>
    <row r="31" ht="15.75" customHeight="1">
      <c r="A31" s="25" t="s">
        <v>2325</v>
      </c>
      <c r="B31" s="9" t="s">
        <v>2321</v>
      </c>
      <c r="C31" s="9" t="s">
        <v>2326</v>
      </c>
      <c r="D31" s="9" t="s">
        <v>2327</v>
      </c>
      <c r="E31" s="49">
        <v>2.0</v>
      </c>
      <c r="F31" s="9" t="s">
        <v>2328</v>
      </c>
      <c r="G31" s="9" t="s">
        <v>2329</v>
      </c>
      <c r="H31" s="21">
        <f>COUNTIF('03_BR'!$K:$K,"*"&amp;A31&amp;"*")</f>
        <v>1</v>
      </c>
      <c r="I31" s="9" t="s">
        <v>1517</v>
      </c>
      <c r="J31" s="9" t="s">
        <v>2212</v>
      </c>
    </row>
    <row r="32" ht="15.75" customHeight="1">
      <c r="A32" s="25" t="s">
        <v>2330</v>
      </c>
      <c r="B32" s="9" t="s">
        <v>2321</v>
      </c>
      <c r="C32" s="9" t="s">
        <v>2331</v>
      </c>
      <c r="D32" s="9" t="s">
        <v>2332</v>
      </c>
      <c r="E32" s="50">
        <v>3500.0</v>
      </c>
      <c r="F32" s="9" t="s">
        <v>2333</v>
      </c>
      <c r="G32" s="9" t="s">
        <v>2334</v>
      </c>
      <c r="H32" s="21">
        <f>COUNTIF('03_BR'!$K:$K,"*"&amp;A32&amp;"*")</f>
        <v>1</v>
      </c>
      <c r="I32" s="9" t="s">
        <v>1517</v>
      </c>
      <c r="J32" s="9" t="s">
        <v>2212</v>
      </c>
    </row>
    <row r="33" ht="15.75" customHeight="1">
      <c r="A33" s="25" t="s">
        <v>2335</v>
      </c>
      <c r="B33" s="9" t="s">
        <v>2321</v>
      </c>
      <c r="C33" s="9" t="s">
        <v>2336</v>
      </c>
      <c r="D33" s="9" t="s">
        <v>2337</v>
      </c>
      <c r="E33" s="49">
        <v>50.0</v>
      </c>
      <c r="F33" s="9" t="s">
        <v>2328</v>
      </c>
      <c r="G33" s="9" t="s">
        <v>2338</v>
      </c>
      <c r="H33" s="21">
        <f>COUNTIF('03_BR'!$K:$K,"*"&amp;A33&amp;"*")</f>
        <v>1</v>
      </c>
      <c r="I33" s="9" t="s">
        <v>1517</v>
      </c>
      <c r="J33" s="9" t="s">
        <v>2212</v>
      </c>
    </row>
    <row r="34" ht="15.75" customHeight="1">
      <c r="A34" s="25" t="s">
        <v>2339</v>
      </c>
      <c r="B34" s="9" t="s">
        <v>2321</v>
      </c>
      <c r="C34" s="9" t="s">
        <v>2340</v>
      </c>
      <c r="D34" s="9" t="s">
        <v>2341</v>
      </c>
      <c r="E34" s="50">
        <v>2000.0</v>
      </c>
      <c r="F34" s="9" t="s">
        <v>2333</v>
      </c>
      <c r="G34" s="9" t="s">
        <v>2342</v>
      </c>
      <c r="H34" s="21">
        <f>COUNTIF('03_BR'!$K:$K,"*"&amp;A34&amp;"*")</f>
        <v>1</v>
      </c>
      <c r="I34" s="9" t="s">
        <v>1517</v>
      </c>
      <c r="J34" s="9" t="s">
        <v>2212</v>
      </c>
    </row>
    <row r="35" ht="15.75" customHeight="1">
      <c r="A35" s="25" t="s">
        <v>2343</v>
      </c>
      <c r="B35" s="9" t="s">
        <v>2321</v>
      </c>
      <c r="C35" s="9" t="s">
        <v>2344</v>
      </c>
      <c r="D35" s="9" t="s">
        <v>2345</v>
      </c>
      <c r="E35" s="50">
        <v>5000.0</v>
      </c>
      <c r="F35" s="9" t="s">
        <v>2280</v>
      </c>
      <c r="G35" s="9" t="s">
        <v>2346</v>
      </c>
      <c r="H35" s="21">
        <f>COUNTIF('03_BR'!$K:$K,"*"&amp;A35&amp;"*")</f>
        <v>1</v>
      </c>
      <c r="I35" s="9" t="s">
        <v>1522</v>
      </c>
      <c r="J35" s="9" t="s">
        <v>2212</v>
      </c>
    </row>
    <row r="36" ht="15.75" customHeight="1">
      <c r="A36" s="25" t="s">
        <v>2347</v>
      </c>
      <c r="B36" s="9" t="s">
        <v>2321</v>
      </c>
      <c r="C36" s="9" t="s">
        <v>2348</v>
      </c>
      <c r="D36" s="9" t="s">
        <v>2349</v>
      </c>
      <c r="E36" s="50">
        <v>12000.0</v>
      </c>
      <c r="F36" s="9" t="s">
        <v>2280</v>
      </c>
      <c r="G36" s="9"/>
      <c r="H36" s="21">
        <f>COUNTIF('03_BR'!$K:$K,"*"&amp;A36&amp;"*")</f>
        <v>1</v>
      </c>
      <c r="I36" s="9" t="s">
        <v>1522</v>
      </c>
      <c r="J36" s="9" t="s">
        <v>2212</v>
      </c>
    </row>
    <row r="37" ht="15.75" customHeight="1">
      <c r="A37" s="25" t="s">
        <v>2350</v>
      </c>
      <c r="B37" s="9" t="s">
        <v>2321</v>
      </c>
      <c r="C37" s="9" t="s">
        <v>2351</v>
      </c>
      <c r="D37" s="9" t="s">
        <v>2352</v>
      </c>
      <c r="E37" s="50">
        <v>25000.0</v>
      </c>
      <c r="F37" s="9" t="s">
        <v>2280</v>
      </c>
      <c r="G37" s="9"/>
      <c r="H37" s="21">
        <f>COUNTIF('03_BR'!$K:$K,"*"&amp;A37&amp;"*")</f>
        <v>1</v>
      </c>
      <c r="I37" s="9" t="s">
        <v>1522</v>
      </c>
      <c r="J37" s="9" t="s">
        <v>2212</v>
      </c>
    </row>
    <row r="38" ht="15.75" customHeight="1">
      <c r="A38" s="25" t="s">
        <v>2353</v>
      </c>
      <c r="B38" s="9" t="s">
        <v>2321</v>
      </c>
      <c r="C38" s="9" t="s">
        <v>2354</v>
      </c>
      <c r="D38" s="9" t="s">
        <v>2355</v>
      </c>
      <c r="E38" s="50">
        <v>5000.0</v>
      </c>
      <c r="F38" s="9" t="s">
        <v>2280</v>
      </c>
      <c r="G38" s="9" t="s">
        <v>2356</v>
      </c>
      <c r="H38" s="21">
        <f>COUNTIF('03_BR'!$K:$K,"*"&amp;A38&amp;"*")</f>
        <v>0</v>
      </c>
      <c r="I38" s="9"/>
      <c r="J38" s="9" t="s">
        <v>2212</v>
      </c>
    </row>
    <row r="39" ht="15.75" customHeight="1">
      <c r="A39" s="25" t="s">
        <v>2357</v>
      </c>
      <c r="B39" s="9" t="s">
        <v>2321</v>
      </c>
      <c r="C39" s="9" t="s">
        <v>2358</v>
      </c>
      <c r="D39" s="9" t="s">
        <v>2359</v>
      </c>
      <c r="E39" s="50">
        <v>10000.0</v>
      </c>
      <c r="F39" s="9" t="s">
        <v>2280</v>
      </c>
      <c r="G39" s="9"/>
      <c r="H39" s="21">
        <f>COUNTIF('03_BR'!$K:$K,"*"&amp;A39&amp;"*")</f>
        <v>0</v>
      </c>
      <c r="I39" s="9"/>
      <c r="J39" s="9" t="s">
        <v>2212</v>
      </c>
    </row>
    <row r="40" ht="15.75" customHeight="1">
      <c r="A40" s="25" t="s">
        <v>2360</v>
      </c>
      <c r="B40" s="9" t="s">
        <v>2321</v>
      </c>
      <c r="C40" s="9" t="s">
        <v>2361</v>
      </c>
      <c r="D40" s="9" t="s">
        <v>2362</v>
      </c>
      <c r="E40" s="52">
        <v>1.5</v>
      </c>
      <c r="F40" s="9" t="s">
        <v>2216</v>
      </c>
      <c r="G40" s="9" t="s">
        <v>2363</v>
      </c>
      <c r="H40" s="21">
        <f>COUNTIF('03_BR'!$K:$K,"*"&amp;A40&amp;"*")</f>
        <v>1</v>
      </c>
      <c r="I40" s="9" t="s">
        <v>1522</v>
      </c>
      <c r="J40" s="9" t="s">
        <v>2212</v>
      </c>
    </row>
    <row r="41" ht="15.75" customHeight="1">
      <c r="A41" s="25" t="s">
        <v>2364</v>
      </c>
      <c r="B41" s="9" t="s">
        <v>2321</v>
      </c>
      <c r="C41" s="9" t="s">
        <v>2365</v>
      </c>
      <c r="D41" s="9" t="s">
        <v>2366</v>
      </c>
      <c r="E41" s="52">
        <v>1.2</v>
      </c>
      <c r="F41" s="9" t="s">
        <v>2216</v>
      </c>
      <c r="G41" s="9" t="s">
        <v>2363</v>
      </c>
      <c r="H41" s="21">
        <f>COUNTIF('03_BR'!$K:$K,"*"&amp;A41&amp;"*")</f>
        <v>1</v>
      </c>
      <c r="I41" s="9" t="s">
        <v>1522</v>
      </c>
      <c r="J41" s="9" t="s">
        <v>2212</v>
      </c>
    </row>
    <row r="42" ht="15.75" customHeight="1">
      <c r="A42" s="25" t="s">
        <v>2367</v>
      </c>
      <c r="B42" s="9" t="s">
        <v>2321</v>
      </c>
      <c r="C42" s="9" t="s">
        <v>2368</v>
      </c>
      <c r="D42" s="9" t="s">
        <v>2369</v>
      </c>
      <c r="E42" s="50">
        <v>10000.0</v>
      </c>
      <c r="F42" s="9" t="s">
        <v>2280</v>
      </c>
      <c r="G42" s="9" t="s">
        <v>2370</v>
      </c>
      <c r="H42" s="21">
        <f>COUNTIF('03_BR'!$K:$K,"*"&amp;A42&amp;"*")</f>
        <v>1</v>
      </c>
      <c r="I42" s="9" t="s">
        <v>1517</v>
      </c>
      <c r="J42" s="9" t="s">
        <v>2212</v>
      </c>
    </row>
    <row r="43" ht="15.75" customHeight="1">
      <c r="A43" s="25" t="s">
        <v>2371</v>
      </c>
      <c r="B43" s="9" t="s">
        <v>2321</v>
      </c>
      <c r="C43" s="9" t="s">
        <v>2372</v>
      </c>
      <c r="D43" s="9" t="s">
        <v>2373</v>
      </c>
      <c r="E43" s="53">
        <v>0.7</v>
      </c>
      <c r="F43" s="9" t="s">
        <v>2374</v>
      </c>
      <c r="G43" s="9" t="s">
        <v>2375</v>
      </c>
      <c r="H43" s="21">
        <f>COUNTIF('03_BR'!$K:$K,"*"&amp;A43&amp;"*")</f>
        <v>1</v>
      </c>
      <c r="I43" s="9" t="s">
        <v>1343</v>
      </c>
      <c r="J43" s="9" t="s">
        <v>2212</v>
      </c>
    </row>
    <row r="44" ht="15.75" customHeight="1">
      <c r="A44" s="25" t="s">
        <v>2376</v>
      </c>
      <c r="B44" s="9" t="s">
        <v>2321</v>
      </c>
      <c r="C44" s="9" t="s">
        <v>2377</v>
      </c>
      <c r="D44" s="9" t="s">
        <v>2378</v>
      </c>
      <c r="E44" s="53">
        <v>1.5</v>
      </c>
      <c r="F44" s="9" t="s">
        <v>2374</v>
      </c>
      <c r="G44" s="9" t="s">
        <v>2379</v>
      </c>
      <c r="H44" s="21">
        <f>COUNTIF('03_BR'!$K:$K,"*"&amp;A44&amp;"*")</f>
        <v>1</v>
      </c>
      <c r="I44" s="9" t="s">
        <v>1343</v>
      </c>
      <c r="J44" s="9" t="s">
        <v>2212</v>
      </c>
    </row>
    <row r="45" ht="15.75" customHeight="1">
      <c r="A45" s="25" t="s">
        <v>2380</v>
      </c>
      <c r="B45" s="9" t="s">
        <v>2321</v>
      </c>
      <c r="C45" s="9" t="s">
        <v>2381</v>
      </c>
      <c r="D45" s="9" t="s">
        <v>2382</v>
      </c>
      <c r="E45" s="49">
        <v>120.0</v>
      </c>
      <c r="F45" s="9" t="s">
        <v>2210</v>
      </c>
      <c r="G45" s="9" t="s">
        <v>2383</v>
      </c>
      <c r="H45" s="21">
        <f>COUNTIF('03_BR'!$K:$K,"*"&amp;A45&amp;"*")</f>
        <v>1</v>
      </c>
      <c r="I45" s="9" t="s">
        <v>1343</v>
      </c>
      <c r="J45" s="9" t="s">
        <v>2212</v>
      </c>
    </row>
    <row r="46" ht="15.75" customHeight="1">
      <c r="A46" s="25" t="s">
        <v>2384</v>
      </c>
      <c r="B46" s="9" t="s">
        <v>2321</v>
      </c>
      <c r="C46" s="9" t="s">
        <v>2385</v>
      </c>
      <c r="D46" s="9" t="s">
        <v>2386</v>
      </c>
      <c r="E46" s="53">
        <v>0.08</v>
      </c>
      <c r="F46" s="9" t="s">
        <v>2387</v>
      </c>
      <c r="G46" s="9" t="s">
        <v>2388</v>
      </c>
      <c r="H46" s="21">
        <f>COUNTIF('03_BR'!$K:$K,"*"&amp;A46&amp;"*")</f>
        <v>2</v>
      </c>
      <c r="I46" s="9" t="s">
        <v>2389</v>
      </c>
      <c r="J46" s="9" t="s">
        <v>2212</v>
      </c>
    </row>
    <row r="47" ht="15.75" customHeight="1">
      <c r="A47" s="25" t="s">
        <v>2390</v>
      </c>
      <c r="B47" s="9" t="s">
        <v>2321</v>
      </c>
      <c r="C47" s="9" t="s">
        <v>2391</v>
      </c>
      <c r="D47" s="9" t="s">
        <v>2392</v>
      </c>
      <c r="E47" s="53">
        <v>0.07</v>
      </c>
      <c r="F47" s="9" t="s">
        <v>2387</v>
      </c>
      <c r="G47" s="9"/>
      <c r="H47" s="21">
        <f>COUNTIF('03_BR'!$K:$K,"*"&amp;A47&amp;"*")</f>
        <v>1</v>
      </c>
      <c r="I47" s="9" t="s">
        <v>1527</v>
      </c>
      <c r="J47" s="9" t="s">
        <v>2212</v>
      </c>
    </row>
    <row r="48" ht="15.75" customHeight="1">
      <c r="A48" s="25" t="s">
        <v>2393</v>
      </c>
      <c r="B48" s="9" t="s">
        <v>2321</v>
      </c>
      <c r="C48" s="9" t="s">
        <v>2394</v>
      </c>
      <c r="D48" s="9" t="s">
        <v>2395</v>
      </c>
      <c r="E48" s="53">
        <v>0.06</v>
      </c>
      <c r="F48" s="9" t="s">
        <v>2387</v>
      </c>
      <c r="G48" s="9"/>
      <c r="H48" s="21">
        <f>COUNTIF('03_BR'!$K:$K,"*"&amp;A48&amp;"*")</f>
        <v>1</v>
      </c>
      <c r="I48" s="9" t="s">
        <v>1527</v>
      </c>
      <c r="J48" s="9" t="s">
        <v>2212</v>
      </c>
    </row>
    <row r="49" ht="15.75" customHeight="1">
      <c r="A49" s="25" t="s">
        <v>2396</v>
      </c>
      <c r="B49" s="9" t="s">
        <v>2321</v>
      </c>
      <c r="C49" s="9" t="s">
        <v>2397</v>
      </c>
      <c r="D49" s="9" t="s">
        <v>2398</v>
      </c>
      <c r="E49" s="53">
        <v>0.05</v>
      </c>
      <c r="F49" s="9" t="s">
        <v>2387</v>
      </c>
      <c r="G49" s="9"/>
      <c r="H49" s="21">
        <f>COUNTIF('03_BR'!$K:$K,"*"&amp;A49&amp;"*")</f>
        <v>1</v>
      </c>
      <c r="I49" s="9" t="s">
        <v>1527</v>
      </c>
      <c r="J49" s="9" t="s">
        <v>2212</v>
      </c>
    </row>
    <row r="50" ht="15.75" customHeight="1">
      <c r="A50" s="25" t="s">
        <v>2399</v>
      </c>
      <c r="B50" s="9" t="s">
        <v>2321</v>
      </c>
      <c r="C50" s="9" t="s">
        <v>2400</v>
      </c>
      <c r="D50" s="9" t="s">
        <v>2401</v>
      </c>
      <c r="E50" s="53">
        <v>0.04</v>
      </c>
      <c r="F50" s="9" t="s">
        <v>2387</v>
      </c>
      <c r="G50" s="9"/>
      <c r="H50" s="21">
        <f>COUNTIF('03_BR'!$K:$K,"*"&amp;A50&amp;"*")</f>
        <v>2</v>
      </c>
      <c r="I50" s="9" t="s">
        <v>2389</v>
      </c>
      <c r="J50" s="9" t="s">
        <v>2212</v>
      </c>
    </row>
    <row r="51" ht="15.75" customHeight="1">
      <c r="A51" s="25" t="s">
        <v>2402</v>
      </c>
      <c r="B51" s="9" t="s">
        <v>2321</v>
      </c>
      <c r="C51" s="9" t="s">
        <v>2403</v>
      </c>
      <c r="D51" s="9" t="s">
        <v>2404</v>
      </c>
      <c r="E51" s="53">
        <v>0.01</v>
      </c>
      <c r="F51" s="9" t="s">
        <v>2405</v>
      </c>
      <c r="G51" s="9" t="s">
        <v>2406</v>
      </c>
      <c r="H51" s="21">
        <f>COUNTIF('03_BR'!$K:$K,"*"&amp;A51&amp;"*")</f>
        <v>1</v>
      </c>
      <c r="I51" s="9" t="s">
        <v>1532</v>
      </c>
      <c r="J51" s="9" t="s">
        <v>2212</v>
      </c>
    </row>
    <row r="52" ht="15.75" customHeight="1">
      <c r="A52" s="25" t="s">
        <v>2407</v>
      </c>
      <c r="B52" s="9" t="s">
        <v>2321</v>
      </c>
      <c r="C52" s="9" t="s">
        <v>2408</v>
      </c>
      <c r="D52" s="9" t="s">
        <v>2409</v>
      </c>
      <c r="E52" s="50">
        <v>2000.0</v>
      </c>
      <c r="F52" s="9" t="s">
        <v>2280</v>
      </c>
      <c r="G52" s="9"/>
      <c r="H52" s="21">
        <f>COUNTIF('03_BR'!$K:$K,"*"&amp;A52&amp;"*")</f>
        <v>1</v>
      </c>
      <c r="I52" s="9" t="s">
        <v>1532</v>
      </c>
      <c r="J52" s="9" t="s">
        <v>2212</v>
      </c>
    </row>
    <row r="53" ht="15.75" customHeight="1">
      <c r="A53" s="25" t="s">
        <v>1474</v>
      </c>
      <c r="B53" s="9" t="s">
        <v>2321</v>
      </c>
      <c r="C53" s="9" t="s">
        <v>2410</v>
      </c>
      <c r="D53" s="9" t="s">
        <v>2411</v>
      </c>
      <c r="E53" s="53">
        <v>0.1</v>
      </c>
      <c r="F53" s="9" t="s">
        <v>2412</v>
      </c>
      <c r="G53" s="9" t="s">
        <v>2413</v>
      </c>
      <c r="H53" s="21">
        <f>COUNTIF('03_BR'!$K:$K,"*"&amp;A53&amp;"*")</f>
        <v>1</v>
      </c>
      <c r="I53" s="9" t="s">
        <v>1470</v>
      </c>
      <c r="J53" s="9" t="s">
        <v>2212</v>
      </c>
    </row>
    <row r="54" ht="15.75" customHeight="1">
      <c r="A54" s="25" t="s">
        <v>2414</v>
      </c>
      <c r="B54" s="9" t="s">
        <v>2321</v>
      </c>
      <c r="C54" s="9" t="s">
        <v>2415</v>
      </c>
      <c r="D54" s="9" t="s">
        <v>2416</v>
      </c>
      <c r="E54" s="53">
        <v>0.1</v>
      </c>
      <c r="F54" s="9" t="s">
        <v>2387</v>
      </c>
      <c r="G54" s="9" t="s">
        <v>2417</v>
      </c>
      <c r="H54" s="21">
        <f>COUNTIF('03_BR'!$K:$K,"*"&amp;A54&amp;"*")</f>
        <v>1</v>
      </c>
      <c r="I54" s="9" t="s">
        <v>1308</v>
      </c>
      <c r="J54" s="9" t="s">
        <v>2212</v>
      </c>
    </row>
    <row r="55" ht="15.75" customHeight="1">
      <c r="A55" s="25" t="s">
        <v>2418</v>
      </c>
      <c r="B55" s="9" t="s">
        <v>2321</v>
      </c>
      <c r="C55" s="9" t="s">
        <v>2419</v>
      </c>
      <c r="D55" s="9" t="s">
        <v>2420</v>
      </c>
      <c r="E55" s="50">
        <v>5000.0</v>
      </c>
      <c r="F55" s="9" t="s">
        <v>2280</v>
      </c>
      <c r="G55" s="9"/>
      <c r="H55" s="21">
        <f>COUNTIF('03_BR'!$K:$K,"*"&amp;A55&amp;"*")</f>
        <v>1</v>
      </c>
      <c r="I55" s="9" t="s">
        <v>1308</v>
      </c>
      <c r="J55" s="9" t="s">
        <v>2212</v>
      </c>
    </row>
    <row r="56" ht="15.75" customHeight="1">
      <c r="A56" s="25" t="s">
        <v>2421</v>
      </c>
      <c r="B56" s="9" t="s">
        <v>2321</v>
      </c>
      <c r="C56" s="9" t="s">
        <v>2422</v>
      </c>
      <c r="D56" s="9" t="s">
        <v>2423</v>
      </c>
      <c r="E56" s="53">
        <v>0.5</v>
      </c>
      <c r="F56" s="9" t="s">
        <v>2387</v>
      </c>
      <c r="G56" s="9" t="s">
        <v>2424</v>
      </c>
      <c r="H56" s="21">
        <f>COUNTIF('03_BR'!$K:$K,"*"&amp;A56&amp;"*")</f>
        <v>1</v>
      </c>
      <c r="I56" s="9" t="s">
        <v>1415</v>
      </c>
      <c r="J56" s="9" t="s">
        <v>2212</v>
      </c>
    </row>
    <row r="57" ht="15.75" customHeight="1">
      <c r="A57" s="25" t="s">
        <v>1512</v>
      </c>
      <c r="B57" s="9" t="s">
        <v>2321</v>
      </c>
      <c r="C57" s="9" t="s">
        <v>2425</v>
      </c>
      <c r="D57" s="9" t="s">
        <v>2426</v>
      </c>
      <c r="E57" s="50">
        <v>500.0</v>
      </c>
      <c r="F57" s="9" t="s">
        <v>2280</v>
      </c>
      <c r="G57" s="9" t="s">
        <v>2427</v>
      </c>
      <c r="H57" s="21">
        <f>COUNTIF('03_BR'!$K:$K,"*"&amp;A57&amp;"*")</f>
        <v>1</v>
      </c>
      <c r="I57" s="9" t="s">
        <v>1507</v>
      </c>
      <c r="J57" s="9" t="s">
        <v>2212</v>
      </c>
    </row>
    <row r="58" ht="15.75" customHeight="1">
      <c r="A58" s="25" t="s">
        <v>1362</v>
      </c>
      <c r="B58" s="9" t="s">
        <v>2321</v>
      </c>
      <c r="C58" s="9" t="s">
        <v>2428</v>
      </c>
      <c r="D58" s="9" t="s">
        <v>2429</v>
      </c>
      <c r="E58" s="49">
        <v>3.0</v>
      </c>
      <c r="F58" s="9" t="s">
        <v>2430</v>
      </c>
      <c r="G58" s="9"/>
      <c r="H58" s="21">
        <f>COUNTIF('03_BR'!$K:$K,"*"&amp;A58&amp;"*")</f>
        <v>1</v>
      </c>
      <c r="I58" s="9" t="s">
        <v>1358</v>
      </c>
      <c r="J58" s="9" t="s">
        <v>2212</v>
      </c>
    </row>
    <row r="59" ht="15.75" customHeight="1">
      <c r="A59" s="25" t="s">
        <v>1667</v>
      </c>
      <c r="B59" s="9" t="s">
        <v>2321</v>
      </c>
      <c r="C59" s="9" t="s">
        <v>2431</v>
      </c>
      <c r="D59" s="9" t="s">
        <v>2432</v>
      </c>
      <c r="E59" s="53">
        <v>0.0</v>
      </c>
      <c r="F59" s="9" t="s">
        <v>2433</v>
      </c>
      <c r="G59" s="9" t="s">
        <v>2434</v>
      </c>
      <c r="H59" s="21">
        <f>COUNTIF('03_BR'!$K:$K,"*"&amp;A59&amp;"*")</f>
        <v>1</v>
      </c>
      <c r="I59" s="9" t="s">
        <v>1662</v>
      </c>
      <c r="J59" s="9" t="s">
        <v>2212</v>
      </c>
    </row>
    <row r="60" ht="15.75" customHeight="1">
      <c r="A60" s="25" t="s">
        <v>2435</v>
      </c>
      <c r="B60" s="9" t="s">
        <v>132</v>
      </c>
      <c r="C60" s="9" t="s">
        <v>2436</v>
      </c>
      <c r="D60" s="9" t="s">
        <v>2437</v>
      </c>
      <c r="E60" s="50">
        <v>20000.0</v>
      </c>
      <c r="F60" s="9" t="s">
        <v>2280</v>
      </c>
      <c r="G60" s="9" t="s">
        <v>2438</v>
      </c>
      <c r="H60" s="21">
        <f>COUNTIF('03_BR'!$K:$K,"*"&amp;A60&amp;"*")</f>
        <v>1</v>
      </c>
      <c r="I60" s="9" t="s">
        <v>1445</v>
      </c>
      <c r="J60" s="9" t="s">
        <v>2212</v>
      </c>
    </row>
    <row r="61" ht="15.75" customHeight="1">
      <c r="A61" s="25" t="s">
        <v>2439</v>
      </c>
      <c r="B61" s="9" t="s">
        <v>132</v>
      </c>
      <c r="C61" s="9" t="s">
        <v>2440</v>
      </c>
      <c r="D61" s="9" t="s">
        <v>2441</v>
      </c>
      <c r="E61" s="50">
        <v>1.0E7</v>
      </c>
      <c r="F61" s="9" t="s">
        <v>2280</v>
      </c>
      <c r="G61" s="9" t="s">
        <v>2442</v>
      </c>
      <c r="H61" s="21">
        <f>COUNTIF('03_BR'!$K:$K,"*"&amp;A61&amp;"*")</f>
        <v>1</v>
      </c>
      <c r="I61" s="9" t="s">
        <v>1445</v>
      </c>
      <c r="J61" s="9" t="s">
        <v>2212</v>
      </c>
    </row>
    <row r="62" ht="15.75" customHeight="1">
      <c r="A62" s="25" t="s">
        <v>2443</v>
      </c>
      <c r="B62" s="9" t="s">
        <v>132</v>
      </c>
      <c r="C62" s="9" t="s">
        <v>2444</v>
      </c>
      <c r="D62" s="9" t="s">
        <v>2445</v>
      </c>
      <c r="E62" s="50">
        <v>2.0E7</v>
      </c>
      <c r="F62" s="9" t="s">
        <v>2280</v>
      </c>
      <c r="G62" s="9" t="s">
        <v>2446</v>
      </c>
      <c r="H62" s="21">
        <f>COUNTIF('03_BR'!$K:$K,"*"&amp;A62&amp;"*")</f>
        <v>1</v>
      </c>
      <c r="I62" s="9" t="s">
        <v>1445</v>
      </c>
      <c r="J62" s="9" t="s">
        <v>2212</v>
      </c>
    </row>
    <row r="63" ht="15.75" customHeight="1">
      <c r="A63" s="25" t="s">
        <v>2447</v>
      </c>
      <c r="B63" s="9" t="s">
        <v>132</v>
      </c>
      <c r="C63" s="9" t="s">
        <v>2448</v>
      </c>
      <c r="D63" s="9" t="s">
        <v>2449</v>
      </c>
      <c r="E63" s="50">
        <v>100000.0</v>
      </c>
      <c r="F63" s="9" t="s">
        <v>2280</v>
      </c>
      <c r="G63" s="9" t="s">
        <v>2450</v>
      </c>
      <c r="H63" s="21">
        <f>COUNTIF('03_BR'!$K:$K,"*"&amp;A63&amp;"*")</f>
        <v>1</v>
      </c>
      <c r="I63" s="9" t="s">
        <v>1479</v>
      </c>
      <c r="J63" s="9" t="s">
        <v>2212</v>
      </c>
    </row>
    <row r="64" ht="15.75" customHeight="1">
      <c r="A64" s="25" t="s">
        <v>2451</v>
      </c>
      <c r="B64" s="9" t="s">
        <v>132</v>
      </c>
      <c r="C64" s="9" t="s">
        <v>2452</v>
      </c>
      <c r="D64" s="9" t="s">
        <v>2453</v>
      </c>
      <c r="E64" s="50">
        <v>1.0E7</v>
      </c>
      <c r="F64" s="9" t="s">
        <v>2280</v>
      </c>
      <c r="G64" s="9"/>
      <c r="H64" s="21">
        <f>COUNTIF('03_BR'!$K:$K,"*"&amp;A64&amp;"*")</f>
        <v>1</v>
      </c>
      <c r="I64" s="9" t="s">
        <v>1479</v>
      </c>
      <c r="J64" s="9" t="s">
        <v>2212</v>
      </c>
    </row>
    <row r="65" ht="15.75" customHeight="1">
      <c r="A65" s="25" t="s">
        <v>2454</v>
      </c>
      <c r="B65" s="9" t="s">
        <v>132</v>
      </c>
      <c r="C65" s="9" t="s">
        <v>2455</v>
      </c>
      <c r="D65" s="9" t="s">
        <v>2456</v>
      </c>
      <c r="E65" s="50">
        <v>2.0E7</v>
      </c>
      <c r="F65" s="9" t="s">
        <v>2280</v>
      </c>
      <c r="G65" s="9" t="s">
        <v>2457</v>
      </c>
      <c r="H65" s="21">
        <f>COUNTIF('03_BR'!$K:$K,"*"&amp;A65&amp;"*")</f>
        <v>1</v>
      </c>
      <c r="I65" s="9" t="s">
        <v>1479</v>
      </c>
      <c r="J65" s="9" t="s">
        <v>2212</v>
      </c>
    </row>
    <row r="66" ht="15.75" customHeight="1">
      <c r="A66" s="25" t="s">
        <v>2458</v>
      </c>
      <c r="B66" s="9" t="s">
        <v>132</v>
      </c>
      <c r="C66" s="9" t="s">
        <v>2459</v>
      </c>
      <c r="D66" s="9" t="s">
        <v>2460</v>
      </c>
      <c r="E66" s="49">
        <v>4.0</v>
      </c>
      <c r="F66" s="9" t="s">
        <v>2216</v>
      </c>
      <c r="G66" s="9" t="s">
        <v>2461</v>
      </c>
      <c r="H66" s="21">
        <f>COUNTIF('03_BR'!$K:$K,"*"&amp;A66&amp;"*")</f>
        <v>1</v>
      </c>
      <c r="I66" s="9" t="s">
        <v>1488</v>
      </c>
      <c r="J66" s="9" t="s">
        <v>2212</v>
      </c>
    </row>
    <row r="67" ht="15.75" customHeight="1">
      <c r="A67" s="25" t="s">
        <v>2462</v>
      </c>
      <c r="B67" s="9" t="s">
        <v>132</v>
      </c>
      <c r="C67" s="9" t="s">
        <v>2463</v>
      </c>
      <c r="D67" s="9" t="s">
        <v>2464</v>
      </c>
      <c r="E67" s="50">
        <v>5000.0</v>
      </c>
      <c r="F67" s="9" t="s">
        <v>2280</v>
      </c>
      <c r="G67" s="9"/>
      <c r="H67" s="21">
        <f>COUNTIF('03_BR'!$K:$K,"*"&amp;A67&amp;"*")</f>
        <v>1</v>
      </c>
      <c r="I67" s="9" t="s">
        <v>1488</v>
      </c>
      <c r="J67" s="9" t="s">
        <v>2212</v>
      </c>
    </row>
    <row r="68" ht="15.75" customHeight="1">
      <c r="A68" s="25" t="s">
        <v>1770</v>
      </c>
      <c r="B68" s="9" t="s">
        <v>132</v>
      </c>
      <c r="C68" s="9" t="s">
        <v>2465</v>
      </c>
      <c r="D68" s="9" t="s">
        <v>2466</v>
      </c>
      <c r="E68" s="49">
        <v>1.0</v>
      </c>
      <c r="F68" s="9" t="s">
        <v>2467</v>
      </c>
      <c r="G68" s="9" t="s">
        <v>2468</v>
      </c>
      <c r="H68" s="21">
        <f>COUNTIF('03_BR'!$K:$K,"*"&amp;A68&amp;"*")</f>
        <v>1</v>
      </c>
      <c r="I68" s="9" t="s">
        <v>1766</v>
      </c>
      <c r="J68" s="9" t="s">
        <v>2212</v>
      </c>
    </row>
    <row r="69" ht="15.75" customHeight="1">
      <c r="A69" s="25" t="s">
        <v>1496</v>
      </c>
      <c r="B69" s="9" t="s">
        <v>132</v>
      </c>
      <c r="C69" s="9" t="s">
        <v>2469</v>
      </c>
      <c r="D69" s="9" t="s">
        <v>2470</v>
      </c>
      <c r="E69" s="50">
        <v>5000000.0</v>
      </c>
      <c r="F69" s="9" t="s">
        <v>2280</v>
      </c>
      <c r="G69" s="9" t="s">
        <v>2471</v>
      </c>
      <c r="H69" s="21">
        <f>COUNTIF('03_BR'!$K:$K,"*"&amp;A69&amp;"*")</f>
        <v>1</v>
      </c>
      <c r="I69" s="9" t="s">
        <v>1492</v>
      </c>
      <c r="J69" s="9" t="s">
        <v>2212</v>
      </c>
    </row>
    <row r="70" ht="15.75" customHeight="1">
      <c r="A70" s="25" t="s">
        <v>1487</v>
      </c>
      <c r="B70" s="9" t="s">
        <v>132</v>
      </c>
      <c r="C70" s="9" t="s">
        <v>2472</v>
      </c>
      <c r="D70" s="9" t="s">
        <v>2473</v>
      </c>
      <c r="E70" s="49">
        <v>24.0</v>
      </c>
      <c r="F70" s="9" t="s">
        <v>2298</v>
      </c>
      <c r="G70" s="9" t="s">
        <v>2474</v>
      </c>
      <c r="H70" s="21">
        <f>COUNTIF('03_BR'!$K:$K,"*"&amp;A70&amp;"*")</f>
        <v>1</v>
      </c>
      <c r="I70" s="9" t="s">
        <v>1483</v>
      </c>
      <c r="J70" s="9" t="s">
        <v>2212</v>
      </c>
    </row>
    <row r="71" ht="15.75" customHeight="1">
      <c r="A71" s="25" t="s">
        <v>1459</v>
      </c>
      <c r="B71" s="9" t="s">
        <v>132</v>
      </c>
      <c r="C71" s="9" t="s">
        <v>2475</v>
      </c>
      <c r="D71" s="9" t="s">
        <v>2476</v>
      </c>
      <c r="E71" s="49">
        <v>15.0</v>
      </c>
      <c r="F71" s="9" t="s">
        <v>2210</v>
      </c>
      <c r="G71" s="9" t="s">
        <v>2477</v>
      </c>
      <c r="H71" s="21">
        <f>COUNTIF('03_BR'!$K:$K,"*"&amp;A71&amp;"*")</f>
        <v>1</v>
      </c>
      <c r="I71" s="9" t="s">
        <v>1455</v>
      </c>
      <c r="J71" s="9" t="s">
        <v>2212</v>
      </c>
    </row>
    <row r="72" ht="15.75" customHeight="1">
      <c r="A72" s="25" t="s">
        <v>2478</v>
      </c>
      <c r="B72" s="9" t="s">
        <v>132</v>
      </c>
      <c r="C72" s="9" t="s">
        <v>2479</v>
      </c>
      <c r="D72" s="9" t="s">
        <v>2480</v>
      </c>
      <c r="E72" s="49">
        <v>10.0</v>
      </c>
      <c r="F72" s="9" t="s">
        <v>2221</v>
      </c>
      <c r="G72" s="9" t="s">
        <v>2481</v>
      </c>
      <c r="H72" s="21">
        <f>COUNTIF('03_BR'!$K:$K,"*"&amp;A72&amp;"*")</f>
        <v>0</v>
      </c>
      <c r="I72" s="9"/>
      <c r="J72" s="9" t="s">
        <v>2212</v>
      </c>
    </row>
    <row r="73" ht="15.75" customHeight="1">
      <c r="A73" s="25" t="s">
        <v>2482</v>
      </c>
      <c r="B73" s="9" t="s">
        <v>132</v>
      </c>
      <c r="C73" s="9" t="s">
        <v>2483</v>
      </c>
      <c r="D73" s="9" t="s">
        <v>2484</v>
      </c>
      <c r="E73" s="49">
        <v>2.0</v>
      </c>
      <c r="F73" s="9" t="s">
        <v>2298</v>
      </c>
      <c r="G73" s="9" t="s">
        <v>2485</v>
      </c>
      <c r="H73" s="21">
        <f>COUNTIF('03_BR'!$K:$K,"*"&amp;A73&amp;"*")</f>
        <v>1</v>
      </c>
      <c r="I73" s="9" t="s">
        <v>1464</v>
      </c>
      <c r="J73" s="9" t="s">
        <v>2212</v>
      </c>
    </row>
    <row r="74" ht="15.75" customHeight="1">
      <c r="A74" s="25" t="s">
        <v>1399</v>
      </c>
      <c r="B74" s="9" t="s">
        <v>132</v>
      </c>
      <c r="C74" s="9" t="s">
        <v>2486</v>
      </c>
      <c r="D74" s="9" t="s">
        <v>2487</v>
      </c>
      <c r="E74" s="49">
        <v>24.0</v>
      </c>
      <c r="F74" s="9" t="s">
        <v>2298</v>
      </c>
      <c r="G74" s="9" t="s">
        <v>2488</v>
      </c>
      <c r="H74" s="21">
        <f>COUNTIF('03_BR'!$K:$K,"*"&amp;A74&amp;"*")</f>
        <v>2</v>
      </c>
      <c r="I74" s="9" t="s">
        <v>2489</v>
      </c>
      <c r="J74" s="9" t="s">
        <v>2212</v>
      </c>
    </row>
    <row r="75" ht="15.75" customHeight="1">
      <c r="A75" s="25" t="s">
        <v>1367</v>
      </c>
      <c r="B75" s="9" t="s">
        <v>132</v>
      </c>
      <c r="C75" s="9" t="s">
        <v>2490</v>
      </c>
      <c r="D75" s="9" t="s">
        <v>2491</v>
      </c>
      <c r="E75" s="49">
        <v>48.0</v>
      </c>
      <c r="F75" s="9" t="s">
        <v>2298</v>
      </c>
      <c r="G75" s="9" t="s">
        <v>2492</v>
      </c>
      <c r="H75" s="21">
        <f>COUNTIF('03_BR'!$K:$K,"*"&amp;A75&amp;"*")</f>
        <v>3</v>
      </c>
      <c r="I75" s="9" t="s">
        <v>2493</v>
      </c>
      <c r="J75" s="9" t="s">
        <v>2212</v>
      </c>
    </row>
    <row r="76" ht="15.75" customHeight="1">
      <c r="A76" s="25" t="s">
        <v>1506</v>
      </c>
      <c r="B76" s="9" t="s">
        <v>132</v>
      </c>
      <c r="C76" s="9" t="s">
        <v>2494</v>
      </c>
      <c r="D76" s="9" t="s">
        <v>2495</v>
      </c>
      <c r="E76" s="49">
        <v>2.0</v>
      </c>
      <c r="F76" s="9" t="s">
        <v>2496</v>
      </c>
      <c r="G76" s="9" t="s">
        <v>2497</v>
      </c>
      <c r="H76" s="21">
        <f>COUNTIF('03_BR'!$K:$K,"*"&amp;A76&amp;"*")</f>
        <v>1</v>
      </c>
      <c r="I76" s="9" t="s">
        <v>1502</v>
      </c>
      <c r="J76" s="9" t="s">
        <v>2212</v>
      </c>
    </row>
    <row r="77" ht="15.75" customHeight="1">
      <c r="A77" s="25" t="s">
        <v>1114</v>
      </c>
      <c r="B77" s="9" t="s">
        <v>132</v>
      </c>
      <c r="C77" s="9" t="s">
        <v>2498</v>
      </c>
      <c r="D77" s="9" t="s">
        <v>2499</v>
      </c>
      <c r="E77" s="49">
        <v>24.0</v>
      </c>
      <c r="F77" s="9" t="s">
        <v>2298</v>
      </c>
      <c r="G77" s="9" t="s">
        <v>2500</v>
      </c>
      <c r="H77" s="21">
        <f>COUNTIF('03_BR'!$K:$K,"*"&amp;A77&amp;"*")</f>
        <v>1</v>
      </c>
      <c r="I77" s="9" t="s">
        <v>1109</v>
      </c>
      <c r="J77" s="9" t="s">
        <v>2212</v>
      </c>
    </row>
    <row r="78" ht="15.75" customHeight="1">
      <c r="A78" s="25" t="s">
        <v>2501</v>
      </c>
      <c r="B78" s="9" t="s">
        <v>2502</v>
      </c>
      <c r="C78" s="9" t="s">
        <v>2503</v>
      </c>
      <c r="D78" s="9" t="s">
        <v>2504</v>
      </c>
      <c r="E78" s="49">
        <v>50.0</v>
      </c>
      <c r="F78" s="9" t="s">
        <v>2505</v>
      </c>
      <c r="G78" s="9" t="s">
        <v>2506</v>
      </c>
      <c r="H78" s="21">
        <f>COUNTIF('03_BR'!$K:$K,"*"&amp;A78&amp;"*")</f>
        <v>1</v>
      </c>
      <c r="I78" s="9" t="s">
        <v>1553</v>
      </c>
      <c r="J78" s="9" t="s">
        <v>2212</v>
      </c>
    </row>
    <row r="79" ht="15.75" customHeight="1">
      <c r="A79" s="25" t="s">
        <v>2507</v>
      </c>
      <c r="B79" s="9" t="s">
        <v>2502</v>
      </c>
      <c r="C79" s="9" t="s">
        <v>2508</v>
      </c>
      <c r="D79" s="9" t="s">
        <v>2509</v>
      </c>
      <c r="E79" s="53">
        <v>0.35</v>
      </c>
      <c r="F79" s="9" t="s">
        <v>2510</v>
      </c>
      <c r="G79" s="9"/>
      <c r="H79" s="21">
        <f>COUNTIF('03_BR'!$K:$K,"*"&amp;A79&amp;"*")</f>
        <v>1</v>
      </c>
      <c r="I79" s="9" t="s">
        <v>1553</v>
      </c>
      <c r="J79" s="9" t="s">
        <v>2212</v>
      </c>
    </row>
    <row r="80" ht="15.75" customHeight="1">
      <c r="A80" s="25" t="s">
        <v>2511</v>
      </c>
      <c r="B80" s="9" t="s">
        <v>2502</v>
      </c>
      <c r="C80" s="9" t="s">
        <v>2512</v>
      </c>
      <c r="D80" s="9" t="s">
        <v>2513</v>
      </c>
      <c r="E80" s="53">
        <v>0.3</v>
      </c>
      <c r="F80" s="9" t="s">
        <v>2510</v>
      </c>
      <c r="G80" s="9"/>
      <c r="H80" s="21">
        <f>COUNTIF('03_BR'!$K:$K,"*"&amp;A80&amp;"*")</f>
        <v>1</v>
      </c>
      <c r="I80" s="9" t="s">
        <v>1553</v>
      </c>
      <c r="J80" s="9" t="s">
        <v>2212</v>
      </c>
    </row>
    <row r="81" ht="15.75" customHeight="1">
      <c r="A81" s="25" t="s">
        <v>2514</v>
      </c>
      <c r="B81" s="9" t="s">
        <v>2502</v>
      </c>
      <c r="C81" s="9" t="s">
        <v>2515</v>
      </c>
      <c r="D81" s="9" t="s">
        <v>2516</v>
      </c>
      <c r="E81" s="53">
        <v>0.2</v>
      </c>
      <c r="F81" s="9" t="s">
        <v>2510</v>
      </c>
      <c r="G81" s="9"/>
      <c r="H81" s="21">
        <f>COUNTIF('03_BR'!$K:$K,"*"&amp;A81&amp;"*")</f>
        <v>1</v>
      </c>
      <c r="I81" s="9" t="s">
        <v>1553</v>
      </c>
      <c r="J81" s="9" t="s">
        <v>2212</v>
      </c>
    </row>
    <row r="82" ht="15.75" customHeight="1">
      <c r="A82" s="25" t="s">
        <v>2517</v>
      </c>
      <c r="B82" s="9" t="s">
        <v>2502</v>
      </c>
      <c r="C82" s="9" t="s">
        <v>2518</v>
      </c>
      <c r="D82" s="9" t="s">
        <v>2519</v>
      </c>
      <c r="E82" s="53">
        <v>0.15</v>
      </c>
      <c r="F82" s="9" t="s">
        <v>2510</v>
      </c>
      <c r="G82" s="9" t="s">
        <v>2520</v>
      </c>
      <c r="H82" s="21">
        <f>COUNTIF('03_BR'!$K:$K,"*"&amp;A82&amp;"*")</f>
        <v>1</v>
      </c>
      <c r="I82" s="9" t="s">
        <v>1553</v>
      </c>
      <c r="J82" s="9" t="s">
        <v>2212</v>
      </c>
    </row>
    <row r="83" ht="15.75" customHeight="1">
      <c r="A83" s="25" t="s">
        <v>2521</v>
      </c>
      <c r="B83" s="9" t="s">
        <v>2502</v>
      </c>
      <c r="C83" s="9" t="s">
        <v>2522</v>
      </c>
      <c r="D83" s="9" t="s">
        <v>2523</v>
      </c>
      <c r="E83" s="51" t="s">
        <v>2524</v>
      </c>
      <c r="F83" s="9"/>
      <c r="G83" s="9"/>
      <c r="H83" s="21">
        <f>COUNTIF('03_BR'!$K:$K,"*"&amp;A83&amp;"*")</f>
        <v>1</v>
      </c>
      <c r="I83" s="9" t="s">
        <v>1558</v>
      </c>
      <c r="J83" s="9" t="s">
        <v>2212</v>
      </c>
    </row>
    <row r="84" ht="15.75" customHeight="1">
      <c r="A84" s="25" t="s">
        <v>2525</v>
      </c>
      <c r="B84" s="9" t="s">
        <v>2502</v>
      </c>
      <c r="C84" s="9" t="s">
        <v>2526</v>
      </c>
      <c r="D84" s="9" t="s">
        <v>2527</v>
      </c>
      <c r="E84" s="51" t="s">
        <v>2528</v>
      </c>
      <c r="F84" s="9"/>
      <c r="G84" s="9"/>
      <c r="H84" s="21">
        <f>COUNTIF('03_BR'!$K:$K,"*"&amp;A84&amp;"*")</f>
        <v>1</v>
      </c>
      <c r="I84" s="9" t="s">
        <v>1558</v>
      </c>
      <c r="J84" s="9" t="s">
        <v>2212</v>
      </c>
    </row>
    <row r="85" ht="15.75" customHeight="1">
      <c r="A85" s="25" t="s">
        <v>2529</v>
      </c>
      <c r="B85" s="9" t="s">
        <v>2502</v>
      </c>
      <c r="C85" s="9" t="s">
        <v>2530</v>
      </c>
      <c r="D85" s="9" t="s">
        <v>2531</v>
      </c>
      <c r="E85" s="51" t="s">
        <v>2532</v>
      </c>
      <c r="F85" s="9"/>
      <c r="G85" s="9"/>
      <c r="H85" s="21">
        <f>COUNTIF('03_BR'!$K:$K,"*"&amp;A85&amp;"*")</f>
        <v>1</v>
      </c>
      <c r="I85" s="9" t="s">
        <v>1558</v>
      </c>
      <c r="J85" s="9" t="s">
        <v>2212</v>
      </c>
    </row>
    <row r="86" ht="15.75" customHeight="1">
      <c r="A86" s="25" t="s">
        <v>2533</v>
      </c>
      <c r="B86" s="9" t="s">
        <v>2502</v>
      </c>
      <c r="C86" s="9" t="s">
        <v>2534</v>
      </c>
      <c r="D86" s="9" t="s">
        <v>2535</v>
      </c>
      <c r="E86" s="51" t="s">
        <v>2536</v>
      </c>
      <c r="F86" s="9"/>
      <c r="G86" s="9"/>
      <c r="H86" s="21">
        <f>COUNTIF('03_BR'!$K:$K,"*"&amp;A86&amp;"*")</f>
        <v>1</v>
      </c>
      <c r="I86" s="9" t="s">
        <v>1558</v>
      </c>
      <c r="J86" s="9" t="s">
        <v>2212</v>
      </c>
    </row>
    <row r="87" ht="15.75" customHeight="1">
      <c r="A87" s="25" t="s">
        <v>2537</v>
      </c>
      <c r="B87" s="9" t="s">
        <v>2502</v>
      </c>
      <c r="C87" s="9" t="s">
        <v>2538</v>
      </c>
      <c r="D87" s="9" t="s">
        <v>2539</v>
      </c>
      <c r="E87" s="51" t="s">
        <v>2540</v>
      </c>
      <c r="F87" s="9"/>
      <c r="G87" s="9"/>
      <c r="H87" s="21">
        <f>COUNTIF('03_BR'!$K:$K,"*"&amp;A87&amp;"*")</f>
        <v>1</v>
      </c>
      <c r="I87" s="9" t="s">
        <v>1337</v>
      </c>
      <c r="J87" s="9" t="s">
        <v>2212</v>
      </c>
    </row>
    <row r="88" ht="15.75" customHeight="1">
      <c r="A88" s="25" t="s">
        <v>2541</v>
      </c>
      <c r="B88" s="9" t="s">
        <v>2502</v>
      </c>
      <c r="C88" s="9" t="s">
        <v>2542</v>
      </c>
      <c r="D88" s="9" t="s">
        <v>2543</v>
      </c>
      <c r="E88" s="51" t="s">
        <v>2544</v>
      </c>
      <c r="F88" s="9"/>
      <c r="G88" s="9"/>
      <c r="H88" s="21">
        <f>COUNTIF('03_BR'!$K:$K,"*"&amp;A88&amp;"*")</f>
        <v>1</v>
      </c>
      <c r="I88" s="9" t="s">
        <v>1337</v>
      </c>
      <c r="J88" s="9" t="s">
        <v>2212</v>
      </c>
    </row>
    <row r="89" ht="15.75" customHeight="1">
      <c r="A89" s="25" t="s">
        <v>2545</v>
      </c>
      <c r="B89" s="9" t="s">
        <v>2502</v>
      </c>
      <c r="C89" s="9" t="s">
        <v>2546</v>
      </c>
      <c r="D89" s="9" t="s">
        <v>2547</v>
      </c>
      <c r="E89" s="49">
        <v>30.0</v>
      </c>
      <c r="F89" s="9" t="s">
        <v>2505</v>
      </c>
      <c r="G89" s="9" t="s">
        <v>2548</v>
      </c>
      <c r="H89" s="21">
        <f>COUNTIF('03_BR'!$K:$K,"*"&amp;A89&amp;"*")</f>
        <v>1</v>
      </c>
      <c r="I89" s="9" t="s">
        <v>1563</v>
      </c>
      <c r="J89" s="9" t="s">
        <v>2212</v>
      </c>
    </row>
    <row r="90" ht="15.75" customHeight="1">
      <c r="A90" s="25" t="s">
        <v>2549</v>
      </c>
      <c r="B90" s="9" t="s">
        <v>2502</v>
      </c>
      <c r="C90" s="9" t="s">
        <v>2550</v>
      </c>
      <c r="D90" s="9" t="s">
        <v>2551</v>
      </c>
      <c r="E90" s="49">
        <v>20.0</v>
      </c>
      <c r="F90" s="9" t="s">
        <v>2505</v>
      </c>
      <c r="G90" s="9"/>
      <c r="H90" s="21">
        <f>COUNTIF('03_BR'!$K:$K,"*"&amp;A90&amp;"*")</f>
        <v>1</v>
      </c>
      <c r="I90" s="9" t="s">
        <v>1563</v>
      </c>
      <c r="J90" s="9" t="s">
        <v>2212</v>
      </c>
    </row>
    <row r="91" ht="15.75" customHeight="1">
      <c r="A91" s="25" t="s">
        <v>1547</v>
      </c>
      <c r="B91" s="9" t="s">
        <v>2502</v>
      </c>
      <c r="C91" s="9" t="s">
        <v>2552</v>
      </c>
      <c r="D91" s="9" t="s">
        <v>2553</v>
      </c>
      <c r="E91" s="49">
        <v>7.0</v>
      </c>
      <c r="F91" s="9" t="s">
        <v>2238</v>
      </c>
      <c r="G91" s="9"/>
      <c r="H91" s="21">
        <f>COUNTIF('03_BR'!$K:$K,"*"&amp;A91&amp;"*")</f>
        <v>1</v>
      </c>
      <c r="I91" s="9" t="s">
        <v>1543</v>
      </c>
      <c r="J91" s="9" t="s">
        <v>2212</v>
      </c>
    </row>
    <row r="92" ht="15.75" customHeight="1">
      <c r="A92" s="25" t="s">
        <v>2554</v>
      </c>
      <c r="B92" s="9" t="s">
        <v>2502</v>
      </c>
      <c r="C92" s="9" t="s">
        <v>2555</v>
      </c>
      <c r="D92" s="9" t="s">
        <v>2556</v>
      </c>
      <c r="E92" s="49">
        <v>3.0</v>
      </c>
      <c r="F92" s="9" t="s">
        <v>2216</v>
      </c>
      <c r="G92" s="9" t="s">
        <v>2557</v>
      </c>
      <c r="H92" s="21">
        <f>COUNTIF('03_BR'!$K:$K,"*"&amp;A92&amp;"*")</f>
        <v>1</v>
      </c>
      <c r="I92" s="9" t="s">
        <v>1569</v>
      </c>
      <c r="J92" s="9" t="s">
        <v>2212</v>
      </c>
    </row>
    <row r="93" ht="15.75" customHeight="1">
      <c r="A93" s="25" t="s">
        <v>2558</v>
      </c>
      <c r="B93" s="9" t="s">
        <v>2502</v>
      </c>
      <c r="C93" s="9" t="s">
        <v>2559</v>
      </c>
      <c r="D93" s="9" t="s">
        <v>2560</v>
      </c>
      <c r="E93" s="49">
        <v>3.0</v>
      </c>
      <c r="F93" s="9" t="s">
        <v>2238</v>
      </c>
      <c r="G93" s="9"/>
      <c r="H93" s="21">
        <f>COUNTIF('03_BR'!$K:$K,"*"&amp;A93&amp;"*")</f>
        <v>1</v>
      </c>
      <c r="I93" s="9" t="s">
        <v>1569</v>
      </c>
      <c r="J93" s="9" t="s">
        <v>2212</v>
      </c>
    </row>
    <row r="94" ht="15.75" customHeight="1">
      <c r="A94" s="25" t="s">
        <v>2561</v>
      </c>
      <c r="B94" s="9" t="s">
        <v>2502</v>
      </c>
      <c r="C94" s="9" t="s">
        <v>2562</v>
      </c>
      <c r="D94" s="9" t="s">
        <v>2563</v>
      </c>
      <c r="E94" s="49">
        <v>5.0</v>
      </c>
      <c r="F94" s="9" t="s">
        <v>2505</v>
      </c>
      <c r="G94" s="9"/>
      <c r="H94" s="21">
        <f>COUNTIF('03_BR'!$K:$K,"*"&amp;A94&amp;"*")</f>
        <v>2</v>
      </c>
      <c r="I94" s="9" t="s">
        <v>2564</v>
      </c>
      <c r="J94" s="9" t="s">
        <v>2212</v>
      </c>
    </row>
    <row r="95" ht="15.75" customHeight="1">
      <c r="A95" s="25" t="s">
        <v>1404</v>
      </c>
      <c r="B95" s="9" t="s">
        <v>2565</v>
      </c>
      <c r="C95" s="9" t="s">
        <v>2566</v>
      </c>
      <c r="D95" s="9" t="s">
        <v>2567</v>
      </c>
      <c r="E95" s="49">
        <v>15.0</v>
      </c>
      <c r="F95" s="9" t="s">
        <v>2221</v>
      </c>
      <c r="G95" s="9" t="s">
        <v>2568</v>
      </c>
      <c r="H95" s="21">
        <f>COUNTIF('03_BR'!$K:$K,"*"&amp;A95&amp;"*")</f>
        <v>1</v>
      </c>
      <c r="I95" s="9" t="s">
        <v>1400</v>
      </c>
      <c r="J95" s="9" t="s">
        <v>2212</v>
      </c>
    </row>
    <row r="96" ht="15.75" customHeight="1">
      <c r="A96" s="25" t="s">
        <v>2569</v>
      </c>
      <c r="B96" s="9" t="s">
        <v>2565</v>
      </c>
      <c r="C96" s="9" t="s">
        <v>2570</v>
      </c>
      <c r="D96" s="9" t="s">
        <v>2571</v>
      </c>
      <c r="E96" s="49">
        <v>12.0</v>
      </c>
      <c r="F96" s="9" t="s">
        <v>2572</v>
      </c>
      <c r="G96" s="9" t="s">
        <v>2573</v>
      </c>
      <c r="H96" s="21">
        <f>COUNTIF('03_BR'!$K:$K,"*"&amp;A96&amp;"*")</f>
        <v>1</v>
      </c>
      <c r="I96" s="9" t="s">
        <v>1186</v>
      </c>
      <c r="J96" s="9" t="s">
        <v>2212</v>
      </c>
    </row>
    <row r="97" ht="15.75" customHeight="1">
      <c r="A97" s="25" t="s">
        <v>2574</v>
      </c>
      <c r="B97" s="9" t="s">
        <v>2565</v>
      </c>
      <c r="C97" s="9" t="s">
        <v>2575</v>
      </c>
      <c r="D97" s="9" t="s">
        <v>2576</v>
      </c>
      <c r="E97" s="49">
        <v>12.0</v>
      </c>
      <c r="F97" s="9" t="s">
        <v>2572</v>
      </c>
      <c r="G97" s="9"/>
      <c r="H97" s="21">
        <f>COUNTIF('03_BR'!$K:$K,"*"&amp;A97&amp;"*")</f>
        <v>1</v>
      </c>
      <c r="I97" s="9" t="s">
        <v>1186</v>
      </c>
      <c r="J97" s="9" t="s">
        <v>2212</v>
      </c>
    </row>
    <row r="98" ht="15.75" customHeight="1">
      <c r="A98" s="25" t="s">
        <v>2577</v>
      </c>
      <c r="B98" s="9" t="s">
        <v>2565</v>
      </c>
      <c r="C98" s="9" t="s">
        <v>2578</v>
      </c>
      <c r="D98" s="9" t="s">
        <v>2579</v>
      </c>
      <c r="E98" s="49">
        <v>6.0</v>
      </c>
      <c r="F98" s="9" t="s">
        <v>2580</v>
      </c>
      <c r="G98" s="9" t="s">
        <v>2581</v>
      </c>
      <c r="H98" s="21">
        <f>COUNTIF('03_BR'!$K:$K,"*"&amp;A98&amp;"*")</f>
        <v>1</v>
      </c>
      <c r="I98" s="9" t="s">
        <v>1389</v>
      </c>
      <c r="J98" s="9" t="s">
        <v>2212</v>
      </c>
    </row>
    <row r="99" ht="15.75" customHeight="1">
      <c r="A99" s="25" t="s">
        <v>2582</v>
      </c>
      <c r="B99" s="9" t="s">
        <v>2565</v>
      </c>
      <c r="C99" s="9" t="s">
        <v>2583</v>
      </c>
      <c r="D99" s="9" t="s">
        <v>2584</v>
      </c>
      <c r="E99" s="49">
        <v>5.0</v>
      </c>
      <c r="F99" s="9" t="s">
        <v>2216</v>
      </c>
      <c r="G99" s="9" t="s">
        <v>2585</v>
      </c>
      <c r="H99" s="21">
        <f>COUNTIF('03_BR'!$K:$K,"*"&amp;A99&amp;"*")</f>
        <v>1</v>
      </c>
      <c r="I99" s="9" t="s">
        <v>1389</v>
      </c>
      <c r="J99" s="9" t="s">
        <v>2212</v>
      </c>
    </row>
    <row r="100" ht="15.75" customHeight="1">
      <c r="A100" s="25" t="s">
        <v>2586</v>
      </c>
      <c r="B100" s="9" t="s">
        <v>2565</v>
      </c>
      <c r="C100" s="9" t="s">
        <v>2587</v>
      </c>
      <c r="D100" s="9" t="s">
        <v>2588</v>
      </c>
      <c r="E100" s="49">
        <v>30.0</v>
      </c>
      <c r="F100" s="9" t="s">
        <v>2210</v>
      </c>
      <c r="G100" s="9"/>
      <c r="H100" s="21">
        <f>COUNTIF('03_BR'!$K:$K,"*"&amp;A100&amp;"*")</f>
        <v>1</v>
      </c>
      <c r="I100" s="9" t="s">
        <v>1389</v>
      </c>
      <c r="J100" s="9" t="s">
        <v>2212</v>
      </c>
    </row>
    <row r="101" ht="15.75" customHeight="1">
      <c r="A101" s="25" t="s">
        <v>1440</v>
      </c>
      <c r="B101" s="9" t="s">
        <v>2565</v>
      </c>
      <c r="C101" s="9" t="s">
        <v>2589</v>
      </c>
      <c r="D101" s="9" t="s">
        <v>2590</v>
      </c>
      <c r="E101" s="49">
        <v>10.0</v>
      </c>
      <c r="F101" s="9" t="s">
        <v>2210</v>
      </c>
      <c r="G101" s="9" t="s">
        <v>2591</v>
      </c>
      <c r="H101" s="21">
        <f>COUNTIF('03_BR'!$K:$K,"*"&amp;A101&amp;"*")</f>
        <v>1</v>
      </c>
      <c r="I101" s="9" t="s">
        <v>1436</v>
      </c>
      <c r="J101" s="9" t="s">
        <v>2212</v>
      </c>
    </row>
    <row r="102" ht="15.75" customHeight="1">
      <c r="A102" s="25" t="s">
        <v>2592</v>
      </c>
      <c r="B102" s="9" t="s">
        <v>2565</v>
      </c>
      <c r="C102" s="9" t="s">
        <v>2593</v>
      </c>
      <c r="D102" s="9" t="s">
        <v>2594</v>
      </c>
      <c r="E102" s="49">
        <v>3.0</v>
      </c>
      <c r="F102" s="9" t="s">
        <v>2216</v>
      </c>
      <c r="G102" s="9" t="s">
        <v>2595</v>
      </c>
      <c r="H102" s="21">
        <f>COUNTIF('03_BR'!$K:$K,"*"&amp;A102&amp;"*")</f>
        <v>0</v>
      </c>
      <c r="I102" s="9"/>
      <c r="J102" s="9" t="s">
        <v>2212</v>
      </c>
    </row>
    <row r="103" ht="15.75" customHeight="1">
      <c r="A103" s="25" t="s">
        <v>2596</v>
      </c>
      <c r="B103" s="9" t="s">
        <v>2565</v>
      </c>
      <c r="C103" s="9" t="s">
        <v>2597</v>
      </c>
      <c r="D103" s="9" t="s">
        <v>2598</v>
      </c>
      <c r="E103" s="49">
        <v>3.0</v>
      </c>
      <c r="F103" s="9" t="s">
        <v>2328</v>
      </c>
      <c r="G103" s="9" t="s">
        <v>2599</v>
      </c>
      <c r="H103" s="21">
        <f>COUNTIF('03_BR'!$K:$K,"*"&amp;A103&amp;"*")</f>
        <v>1</v>
      </c>
      <c r="I103" s="9" t="s">
        <v>1376</v>
      </c>
      <c r="J103" s="9" t="s">
        <v>2212</v>
      </c>
    </row>
    <row r="104" ht="15.75" customHeight="1">
      <c r="A104" s="25" t="s">
        <v>2600</v>
      </c>
      <c r="B104" s="9" t="s">
        <v>2565</v>
      </c>
      <c r="C104" s="9" t="s">
        <v>2601</v>
      </c>
      <c r="D104" s="9" t="s">
        <v>2602</v>
      </c>
      <c r="E104" s="49">
        <v>10.0</v>
      </c>
      <c r="F104" s="9" t="s">
        <v>2603</v>
      </c>
      <c r="G104" s="9"/>
      <c r="H104" s="21">
        <f>COUNTIF('03_BR'!$K:$K,"*"&amp;A104&amp;"*")</f>
        <v>1</v>
      </c>
      <c r="I104" s="9" t="s">
        <v>1376</v>
      </c>
      <c r="J104" s="9" t="s">
        <v>2212</v>
      </c>
    </row>
    <row r="105" ht="15.75" customHeight="1">
      <c r="A105" s="25" t="s">
        <v>1430</v>
      </c>
      <c r="B105" s="9" t="s">
        <v>2565</v>
      </c>
      <c r="C105" s="9" t="s">
        <v>2604</v>
      </c>
      <c r="D105" s="9" t="s">
        <v>2605</v>
      </c>
      <c r="E105" s="49">
        <v>5.0</v>
      </c>
      <c r="F105" s="9" t="s">
        <v>2313</v>
      </c>
      <c r="G105" s="9"/>
      <c r="H105" s="21">
        <f>COUNTIF('03_BR'!$K:$K,"*"&amp;A105&amp;"*")</f>
        <v>1</v>
      </c>
      <c r="I105" s="9" t="s">
        <v>1426</v>
      </c>
      <c r="J105" s="9" t="s">
        <v>2212</v>
      </c>
    </row>
    <row r="106" ht="15.75" customHeight="1">
      <c r="A106" s="25" t="s">
        <v>1435</v>
      </c>
      <c r="B106" s="9" t="s">
        <v>2565</v>
      </c>
      <c r="C106" s="9" t="s">
        <v>2606</v>
      </c>
      <c r="D106" s="9" t="s">
        <v>2607</v>
      </c>
      <c r="E106" s="49">
        <v>3.0</v>
      </c>
      <c r="F106" s="9" t="s">
        <v>2608</v>
      </c>
      <c r="G106" s="9"/>
      <c r="H106" s="21">
        <f>COUNTIF('03_BR'!$K:$K,"*"&amp;A106&amp;"*")</f>
        <v>1</v>
      </c>
      <c r="I106" s="9" t="s">
        <v>1431</v>
      </c>
      <c r="J106" s="9" t="s">
        <v>2212</v>
      </c>
    </row>
    <row r="107" ht="15.75" customHeight="1">
      <c r="A107" s="25" t="s">
        <v>2609</v>
      </c>
      <c r="B107" s="9" t="s">
        <v>2565</v>
      </c>
      <c r="C107" s="9" t="s">
        <v>2610</v>
      </c>
      <c r="D107" s="9" t="s">
        <v>2611</v>
      </c>
      <c r="E107" s="49">
        <v>24.0</v>
      </c>
      <c r="F107" s="9" t="s">
        <v>2612</v>
      </c>
      <c r="G107" s="9"/>
      <c r="H107" s="21">
        <f>COUNTIF('03_BR'!$K:$K,"*"&amp;A107&amp;"*")</f>
        <v>0</v>
      </c>
      <c r="I107" s="9"/>
      <c r="J107" s="9" t="s">
        <v>2212</v>
      </c>
    </row>
    <row r="108" ht="15.75" customHeight="1">
      <c r="A108" s="25" t="s">
        <v>2613</v>
      </c>
      <c r="B108" s="9" t="s">
        <v>2565</v>
      </c>
      <c r="C108" s="9" t="s">
        <v>2614</v>
      </c>
      <c r="D108" s="9" t="s">
        <v>2615</v>
      </c>
      <c r="E108" s="49">
        <v>24.0</v>
      </c>
      <c r="F108" s="9" t="s">
        <v>2298</v>
      </c>
      <c r="G108" s="9"/>
      <c r="H108" s="21">
        <f>COUNTIF('03_BR'!$K:$K,"*"&amp;A108&amp;"*")</f>
        <v>1</v>
      </c>
      <c r="I108" s="9" t="s">
        <v>1584</v>
      </c>
      <c r="J108" s="9" t="s">
        <v>2212</v>
      </c>
    </row>
    <row r="109" ht="15.75" customHeight="1">
      <c r="A109" s="25" t="s">
        <v>2616</v>
      </c>
      <c r="B109" s="9" t="s">
        <v>2565</v>
      </c>
      <c r="C109" s="9" t="s">
        <v>2617</v>
      </c>
      <c r="D109" s="9" t="s">
        <v>2618</v>
      </c>
      <c r="E109" s="49">
        <v>5.0</v>
      </c>
      <c r="F109" s="9" t="s">
        <v>2467</v>
      </c>
      <c r="G109" s="9"/>
      <c r="H109" s="21">
        <f>COUNTIF('03_BR'!$K:$K,"*"&amp;A109&amp;"*")</f>
        <v>1</v>
      </c>
      <c r="I109" s="9" t="s">
        <v>1584</v>
      </c>
      <c r="J109" s="9" t="s">
        <v>2212</v>
      </c>
    </row>
    <row r="110" ht="15.75" customHeight="1">
      <c r="A110" s="25" t="s">
        <v>2619</v>
      </c>
      <c r="B110" s="9" t="s">
        <v>2565</v>
      </c>
      <c r="C110" s="9" t="s">
        <v>2620</v>
      </c>
      <c r="D110" s="9" t="s">
        <v>2621</v>
      </c>
      <c r="E110" s="49">
        <v>48.0</v>
      </c>
      <c r="F110" s="9" t="s">
        <v>2298</v>
      </c>
      <c r="G110" s="9" t="s">
        <v>2622</v>
      </c>
      <c r="H110" s="21">
        <f>COUNTIF('03_BR'!$K:$K,"*"&amp;A110&amp;"*")</f>
        <v>1</v>
      </c>
      <c r="I110" s="9" t="s">
        <v>1584</v>
      </c>
      <c r="J110" s="9" t="s">
        <v>2212</v>
      </c>
    </row>
    <row r="111" ht="15.75" customHeight="1">
      <c r="A111" s="25" t="s">
        <v>2623</v>
      </c>
      <c r="B111" s="9" t="s">
        <v>2565</v>
      </c>
      <c r="C111" s="9" t="s">
        <v>2624</v>
      </c>
      <c r="D111" s="9" t="s">
        <v>2625</v>
      </c>
      <c r="E111" s="49">
        <v>5.0</v>
      </c>
      <c r="F111" s="9" t="s">
        <v>2626</v>
      </c>
      <c r="G111" s="9"/>
      <c r="H111" s="21">
        <f>COUNTIF('03_BR'!$K:$K,"*"&amp;A111&amp;"*")</f>
        <v>1</v>
      </c>
      <c r="I111" s="9" t="s">
        <v>1186</v>
      </c>
      <c r="J111" s="9" t="s">
        <v>2212</v>
      </c>
    </row>
    <row r="112" ht="15.75" customHeight="1">
      <c r="A112" s="25" t="s">
        <v>2627</v>
      </c>
      <c r="B112" s="9" t="s">
        <v>2565</v>
      </c>
      <c r="C112" s="9" t="s">
        <v>2628</v>
      </c>
      <c r="D112" s="9" t="s">
        <v>2629</v>
      </c>
      <c r="E112" s="49">
        <v>10.0</v>
      </c>
      <c r="F112" s="9" t="s">
        <v>2626</v>
      </c>
      <c r="G112" s="9" t="s">
        <v>2630</v>
      </c>
      <c r="H112" s="21">
        <f>COUNTIF('03_BR'!$K:$K,"*"&amp;A112&amp;"*")</f>
        <v>1</v>
      </c>
      <c r="I112" s="9" t="s">
        <v>1186</v>
      </c>
      <c r="J112" s="9" t="s">
        <v>2212</v>
      </c>
    </row>
    <row r="113" ht="15.75" customHeight="1">
      <c r="A113" s="25" t="s">
        <v>1002</v>
      </c>
      <c r="B113" s="9" t="s">
        <v>2565</v>
      </c>
      <c r="C113" s="9" t="s">
        <v>2631</v>
      </c>
      <c r="D113" s="9" t="s">
        <v>2632</v>
      </c>
      <c r="E113" s="50">
        <v>10000.0</v>
      </c>
      <c r="F113" s="9" t="s">
        <v>2633</v>
      </c>
      <c r="G113" s="9" t="s">
        <v>2634</v>
      </c>
      <c r="H113" s="21">
        <f>COUNTIF('03_BR'!$K:$K,"*"&amp;A113&amp;"*")</f>
        <v>1</v>
      </c>
      <c r="I113" s="9" t="s">
        <v>998</v>
      </c>
      <c r="J113" s="9" t="s">
        <v>2212</v>
      </c>
    </row>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113"/>
  <printOptions/>
  <pageMargins bottom="1.0" footer="0.0" header="0.0" left="0.75" right="0.75" top="1.0"/>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fitToPage="1"/>
  </sheetPr>
  <sheetViews>
    <sheetView showGridLines="0" workbookViewId="0"/>
  </sheetViews>
  <sheetFormatPr customHeight="1" defaultColWidth="14.43" defaultRowHeight="15.0"/>
  <cols>
    <col customWidth="1" min="1" max="1" width="46.0"/>
    <col customWidth="1" min="2" max="2" width="22.0"/>
    <col customWidth="1" min="3" max="3" width="60.0"/>
    <col customWidth="1" min="4" max="5" width="14.0"/>
    <col customWidth="1" min="6" max="8" width="16.0"/>
    <col customWidth="1" min="9" max="10" width="14.0"/>
    <col customWidth="1" min="11" max="26" width="8.71"/>
  </cols>
  <sheetData>
    <row r="1" ht="25.5" customHeight="1">
      <c r="A1" s="1" t="s">
        <v>2635</v>
      </c>
    </row>
    <row r="2">
      <c r="A2" s="2" t="s">
        <v>2636</v>
      </c>
    </row>
    <row r="4" ht="21.75" customHeight="1">
      <c r="A4" s="3" t="s">
        <v>2637</v>
      </c>
      <c r="B4" s="4"/>
      <c r="C4" s="4"/>
    </row>
    <row r="5">
      <c r="A5" s="5" t="s">
        <v>2638</v>
      </c>
      <c r="B5" s="54">
        <v>8.0</v>
      </c>
      <c r="C5" s="30" t="s">
        <v>2639</v>
      </c>
    </row>
    <row r="6">
      <c r="A6" s="5" t="s">
        <v>2640</v>
      </c>
      <c r="B6" s="54">
        <v>3.0</v>
      </c>
      <c r="C6" s="30" t="s">
        <v>2641</v>
      </c>
    </row>
    <row r="7">
      <c r="A7" s="5" t="s">
        <v>2642</v>
      </c>
      <c r="B7" s="55">
        <v>40.0</v>
      </c>
      <c r="C7" s="30" t="s">
        <v>2643</v>
      </c>
    </row>
    <row r="8">
      <c r="A8" s="5" t="s">
        <v>2644</v>
      </c>
      <c r="B8" s="56" t="s">
        <v>2645</v>
      </c>
      <c r="C8" s="30" t="s">
        <v>2646</v>
      </c>
    </row>
    <row r="9">
      <c r="A9" s="5" t="s">
        <v>2647</v>
      </c>
      <c r="B9" s="57">
        <v>500000.0</v>
      </c>
      <c r="C9" s="30" t="s">
        <v>2648</v>
      </c>
    </row>
    <row r="10">
      <c r="A10" s="5" t="s">
        <v>2649</v>
      </c>
      <c r="B10" s="56" t="s">
        <v>2650</v>
      </c>
      <c r="C10" s="30" t="s">
        <v>2651</v>
      </c>
    </row>
    <row r="11">
      <c r="A11" s="5" t="s">
        <v>2652</v>
      </c>
      <c r="B11" s="56" t="s">
        <v>2653</v>
      </c>
      <c r="C11" s="30" t="s">
        <v>2654</v>
      </c>
    </row>
    <row r="12">
      <c r="A12" s="5" t="s">
        <v>2655</v>
      </c>
      <c r="B12" s="58">
        <v>1.0</v>
      </c>
      <c r="C12" s="30" t="s">
        <v>2656</v>
      </c>
    </row>
    <row r="13">
      <c r="A13" s="5" t="s">
        <v>2657</v>
      </c>
      <c r="B13" s="57">
        <v>0.0</v>
      </c>
      <c r="C13" s="30" t="s">
        <v>2658</v>
      </c>
    </row>
    <row r="15" ht="21.75" customHeight="1">
      <c r="A15" s="3" t="s">
        <v>2659</v>
      </c>
      <c r="B15" s="4"/>
      <c r="C15" s="4"/>
    </row>
    <row r="16">
      <c r="A16" s="59" t="s">
        <v>2660</v>
      </c>
      <c r="B16" s="60" t="str">
        <f t="array" ref="B16">IF(OR($B$6&gt;INDEX('06_Tham_số'!$E:$E,MATCH("PRM-012",'06_Tham_số'!$A:$A,0)),$B$7&gt;INDEX('06_Tham_số'!$E:$E,MATCH("PRM-013",'06_Tham_số'!$A:$A,0)),$B$9&gt;INDEX('06_Tham_số'!$E:$E,MATCH("PRM-016",'06_Tham_số'!$A:$A,0))),"VƯỢT GIỚI HẠN","Hợp lệ")</f>
        <v>Hợp lệ</v>
      </c>
      <c r="C16" s="30" t="s">
        <v>2661</v>
      </c>
    </row>
    <row r="17">
      <c r="A17" s="59" t="s">
        <v>2662</v>
      </c>
      <c r="B17" s="61">
        <f t="array" ref="B17">INDEX('06_Tham_số'!$E:$E,MATCH("PRM-026",'06_Tham_số'!$A:$A,0))+MAX(0,MIN($B$5,INDEX('06_Tham_số'!$E:$E,MATCH("PRM-029",'06_Tham_số'!$A:$A,0)))-INDEX('06_Tham_số'!$E:$E,MATCH("PRM-027",'06_Tham_số'!$A:$A,0)))*INDEX('06_Tham_số'!$E:$E,MATCH("PRM-028",'06_Tham_số'!$A:$A,0))+MAX(0,$B$5-INDEX('06_Tham_số'!$E:$E,MATCH("PRM-029",'06_Tham_số'!$A:$A,0)))*INDEX('06_Tham_số'!$E:$E,MATCH("PRM-030",'06_Tham_số'!$A:$A,0))</f>
        <v>31000</v>
      </c>
      <c r="C17" s="30" t="s">
        <v>2663</v>
      </c>
    </row>
    <row r="18">
      <c r="A18" s="59" t="s">
        <v>2664</v>
      </c>
      <c r="B18" s="61">
        <f t="array" ref="B18">IF($B$6&lt;=2,0,IF($B$6&lt;=5,INDEX('06_Tham_số'!$E:$E,MATCH("PRM-031",'06_Tham_số'!$A:$A,0)),IF($B$6&lt;=10,INDEX('06_Tham_số'!$E:$E,MATCH("PRM-032",'06_Tham_số'!$A:$A,0)),INDEX('06_Tham_số'!$E:$E,MATCH("PRM-033",'06_Tham_số'!$A:$A,0)))))</f>
        <v>5000</v>
      </c>
      <c r="C18" s="30" t="s">
        <v>2665</v>
      </c>
    </row>
    <row r="19">
      <c r="A19" s="59" t="s">
        <v>2666</v>
      </c>
      <c r="B19" s="60" t="str">
        <f t="array" ref="B19">IF($B$7&lt;=INDEX('06_Tham_số'!$E:$E,MATCH("PRM-014",'06_Tham_số'!$A:$A,0)),"Nhỏ",IF($B$7&lt;=INDEX('06_Tham_số'!$E:$E,MATCH("PRM-015",'06_Tham_số'!$A:$A,0)),"Vừa","Lớn"))</f>
        <v>Vừa</v>
      </c>
      <c r="C19" s="30" t="s">
        <v>2667</v>
      </c>
    </row>
    <row r="20">
      <c r="A20" s="59" t="s">
        <v>2668</v>
      </c>
      <c r="B20" s="61">
        <f t="array" ref="B20">IF($B$7&lt;=INDEX('06_Tham_số'!$E:$E,MATCH("PRM-014",'06_Tham_số'!$A:$A,0)),0,IF($B$7&lt;=INDEX('06_Tham_số'!$E:$E,MATCH("PRM-015",'06_Tham_số'!$A:$A,0)),INDEX('06_Tham_số'!$E:$E,MATCH("PRM-034",'06_Tham_số'!$A:$A,0)),INDEX('06_Tham_số'!$E:$E,MATCH("PRM-035",'06_Tham_số'!$A:$A,0))))</f>
        <v>5000</v>
      </c>
      <c r="C20" s="30"/>
    </row>
    <row r="21" ht="15.75" customHeight="1">
      <c r="A21" s="59" t="s">
        <v>2669</v>
      </c>
      <c r="B21" s="61">
        <f>$B$17+$B$18+$B$20</f>
        <v>41000</v>
      </c>
      <c r="C21" s="30"/>
    </row>
    <row r="22" ht="15.75" customHeight="1">
      <c r="A22" s="59" t="s">
        <v>2670</v>
      </c>
      <c r="B22" s="62">
        <f t="array" ref="B22">IF($B$8="Gấp",INDEX('06_Tham_số'!$E:$E,MATCH("PRM-036",'06_Tham_số'!$A:$A,0)),IF($B$8="Trong ngày",INDEX('06_Tham_số'!$E:$E,MATCH("PRM-037",'06_Tham_số'!$A:$A,0)),1))</f>
        <v>1.2</v>
      </c>
      <c r="C22" s="30"/>
    </row>
    <row r="23" ht="15.75" customHeight="1">
      <c r="A23" s="63" t="s">
        <v>2671</v>
      </c>
      <c r="B23" s="64">
        <f t="array" ref="B23">MAX(INDEX('06_Tham_số'!$E:$E,MATCH("PRM-038",'06_Tham_số'!$A:$A,0)),CEILING(ROUND($B$21*$B$22,2),INDEX('06_Tham_số'!$E:$E,MATCH("PRM-053",'06_Tham_số'!$A:$A,0))))</f>
        <v>49500</v>
      </c>
      <c r="C23" s="30" t="s">
        <v>2672</v>
      </c>
    </row>
    <row r="24" ht="15.75" customHeight="1">
      <c r="A24" s="59" t="s">
        <v>2373</v>
      </c>
      <c r="B24" s="61">
        <f t="array" ref="B24">CEILING($B$23*INDEX('06_Tham_số'!$E:$E,MATCH("PRM-039",'06_Tham_số'!$A:$A,0)),INDEX('06_Tham_số'!$E:$E,MATCH("PRM-053",'06_Tham_số'!$A:$A,0)))</f>
        <v>35000</v>
      </c>
      <c r="C24" s="30" t="s">
        <v>2673</v>
      </c>
    </row>
    <row r="25" ht="15.75" customHeight="1">
      <c r="A25" s="59" t="s">
        <v>2378</v>
      </c>
      <c r="B25" s="61">
        <f t="array" ref="B25">CEILING($B$23*INDEX('06_Tham_số'!$E:$E,MATCH("PRM-040",'06_Tham_số'!$A:$A,0)),INDEX('06_Tham_số'!$E:$E,MATCH("PRM-053",'06_Tham_số'!$A:$A,0)))</f>
        <v>74500</v>
      </c>
      <c r="C25" s="30" t="s">
        <v>2674</v>
      </c>
    </row>
    <row r="26" ht="15.75" customHeight="1">
      <c r="A26" s="59" t="s">
        <v>2675</v>
      </c>
      <c r="B26" s="61">
        <f t="array" ref="B26">CEILING(ROUND($B$23*$B$12,2),INDEX('06_Tham_số'!$E:$E,MATCH("PRM-053",'06_Tham_số'!$A:$A,0)))</f>
        <v>49500</v>
      </c>
      <c r="C26" s="30" t="s">
        <v>2676</v>
      </c>
    </row>
    <row r="27" ht="15.75" customHeight="1">
      <c r="A27" s="59" t="s">
        <v>2677</v>
      </c>
      <c r="B27" s="60" t="str">
        <f>IF(AND($B$26&gt;=$B$24,$B$26&lt;=$B$25),"Hợp lệ","Ngoài biên")</f>
        <v>Hợp lệ</v>
      </c>
      <c r="C27" s="30"/>
    </row>
    <row r="28" ht="15.75" customHeight="1">
      <c r="A28" s="59" t="s">
        <v>2678</v>
      </c>
      <c r="B28" s="61">
        <f t="array" ref="B28">IF($B$10="Có",MAX(INDEX('06_Tham_số'!$E:$E,MATCH("PRM-048",'06_Tham_số'!$A:$A,0)),ROUND($B$9*INDEX('06_Tham_số'!$E:$E,MATCH("PRM-047",'06_Tham_số'!$A:$A,0)),0)),0)</f>
        <v>5000</v>
      </c>
      <c r="C28" s="30" t="s">
        <v>2679</v>
      </c>
    </row>
    <row r="29" ht="15.75" customHeight="1">
      <c r="A29" s="59" t="s">
        <v>2680</v>
      </c>
      <c r="B29" s="61">
        <f>MIN($B$13,$B$26)</f>
        <v>0</v>
      </c>
      <c r="C29" s="30" t="s">
        <v>2681</v>
      </c>
    </row>
    <row r="30" ht="15.75" customHeight="1">
      <c r="A30" s="63" t="s">
        <v>2682</v>
      </c>
      <c r="B30" s="64">
        <f>$B$26+$B$28-$B$29</f>
        <v>54500</v>
      </c>
      <c r="C30" s="30" t="s">
        <v>2683</v>
      </c>
    </row>
    <row r="31" ht="15.75" customHeight="1">
      <c r="A31" s="59" t="s">
        <v>2684</v>
      </c>
      <c r="B31" s="65">
        <f t="array" ref="B31">INDEX($B$52:$B$56,MATCH($B$11,$A$52:$A$56,0))</f>
        <v>0.07</v>
      </c>
      <c r="C31" s="30" t="s">
        <v>2685</v>
      </c>
    </row>
    <row r="32" ht="15.75" customHeight="1">
      <c r="A32" s="59" t="s">
        <v>2686</v>
      </c>
      <c r="B32" s="61">
        <f>ROUNDDOWN($B$26*$B$31,0)</f>
        <v>3465</v>
      </c>
      <c r="C32" s="30" t="s">
        <v>2687</v>
      </c>
    </row>
    <row r="33" ht="15.75" customHeight="1">
      <c r="A33" s="59" t="s">
        <v>2688</v>
      </c>
      <c r="B33" s="61">
        <f t="array" ref="B33">ROUNDDOWN($B$26*INDEX('06_Tham_số'!$E:$E,MATCH("PRM-055",'06_Tham_số'!$A:$A,0)),0)</f>
        <v>0</v>
      </c>
      <c r="C33" s="30" t="s">
        <v>2689</v>
      </c>
    </row>
    <row r="34" ht="15.75" customHeight="1">
      <c r="A34" s="63" t="s">
        <v>2690</v>
      </c>
      <c r="B34" s="64">
        <f>$B$26-$B$32-$B$33</f>
        <v>46035</v>
      </c>
      <c r="C34" s="30" t="s">
        <v>2691</v>
      </c>
    </row>
    <row r="35" ht="15.75" customHeight="1">
      <c r="A35" s="59" t="s">
        <v>2692</v>
      </c>
      <c r="B35" s="61">
        <f t="array" ref="B35">ROUNDDOWN($B$32*INDEX('06_Tham_số'!$E:$E,MATCH("PRM-049",'06_Tham_số'!$A:$A,0)),0)</f>
        <v>346</v>
      </c>
      <c r="C35" s="30" t="s">
        <v>2693</v>
      </c>
    </row>
    <row r="36" ht="15.75" customHeight="1">
      <c r="A36" s="59" t="s">
        <v>2694</v>
      </c>
      <c r="B36" s="61">
        <f>$B$35+$B$28</f>
        <v>5346</v>
      </c>
      <c r="C36" s="30"/>
    </row>
    <row r="37" ht="15.75" customHeight="1">
      <c r="A37" s="59" t="s">
        <v>2695</v>
      </c>
      <c r="B37" s="61">
        <f>$B$32-$B$35</f>
        <v>3119</v>
      </c>
      <c r="C37" s="30"/>
    </row>
    <row r="38" ht="15.75" customHeight="1">
      <c r="A38" s="59" t="s">
        <v>2696</v>
      </c>
      <c r="B38" s="61">
        <f>$B$37-$B$29</f>
        <v>3119</v>
      </c>
      <c r="C38" s="30"/>
    </row>
    <row r="39" ht="15.75" customHeight="1">
      <c r="A39" s="59" t="s">
        <v>2697</v>
      </c>
      <c r="B39" s="61">
        <f>($B$30+$B$29)-($B$34+$B$33+$B$37+$B$36)</f>
        <v>0</v>
      </c>
      <c r="C39" s="30" t="s">
        <v>2698</v>
      </c>
    </row>
    <row r="40" ht="15.75" customHeight="1">
      <c r="A40" s="5" t="s">
        <v>2699</v>
      </c>
      <c r="B40" s="66" t="str">
        <f>IF($B$39=0,"Cân bằng","LỆCH")</f>
        <v>Cân bằng</v>
      </c>
      <c r="C40" s="30"/>
    </row>
    <row r="41" ht="15.75" customHeight="1"/>
    <row r="42" ht="15.75" customHeight="1"/>
    <row r="43" ht="15.75" customHeight="1"/>
    <row r="44" ht="15.75" customHeight="1"/>
    <row r="45" ht="15.75" customHeight="1"/>
    <row r="46" ht="15.75" customHeight="1"/>
    <row r="47" ht="15.75" customHeight="1"/>
    <row r="48" ht="15.75" customHeight="1"/>
    <row r="49" ht="15.75" customHeight="1"/>
    <row r="50" ht="21.75" customHeight="1">
      <c r="A50" s="3" t="s">
        <v>2700</v>
      </c>
      <c r="B50" s="4"/>
      <c r="C50" s="4"/>
    </row>
    <row r="51" ht="15.75" customHeight="1">
      <c r="A51" s="67" t="s">
        <v>2701</v>
      </c>
      <c r="B51" s="67" t="s">
        <v>2702</v>
      </c>
    </row>
    <row r="52" ht="15.75" customHeight="1">
      <c r="A52" s="68" t="s">
        <v>2703</v>
      </c>
      <c r="B52" s="69">
        <f t="array" ref="B52">INDEX('06_Tham_số'!$E:$E,MATCH("PRM-042",'06_Tham_số'!$A:$A,0))</f>
        <v>0.08</v>
      </c>
    </row>
    <row r="53" ht="15.75" customHeight="1">
      <c r="A53" s="68" t="s">
        <v>2653</v>
      </c>
      <c r="B53" s="69">
        <f t="array" ref="B53">INDEX('06_Tham_số'!$E:$E,MATCH("PRM-043",'06_Tham_số'!$A:$A,0))</f>
        <v>0.07</v>
      </c>
    </row>
    <row r="54" ht="15.75" customHeight="1">
      <c r="A54" s="68" t="s">
        <v>2704</v>
      </c>
      <c r="B54" s="69">
        <f t="array" ref="B54">INDEX('06_Tham_số'!$E:$E,MATCH("PRM-044",'06_Tham_số'!$A:$A,0))</f>
        <v>0.06</v>
      </c>
    </row>
    <row r="55" ht="15.75" customHeight="1">
      <c r="A55" s="68" t="s">
        <v>2705</v>
      </c>
      <c r="B55" s="69">
        <f t="array" ref="B55">INDEX('06_Tham_số'!$E:$E,MATCH("PRM-045",'06_Tham_số'!$A:$A,0))</f>
        <v>0.05</v>
      </c>
    </row>
    <row r="56" ht="15.75" customHeight="1">
      <c r="A56" s="68" t="s">
        <v>2706</v>
      </c>
      <c r="B56" s="69">
        <f t="array" ref="B56">INDEX('06_Tham_số'!$E:$E,MATCH("PRM-046",'06_Tham_số'!$A:$A,0))</f>
        <v>0.04</v>
      </c>
    </row>
    <row r="57" ht="15.75" customHeight="1"/>
    <row r="58" ht="21.75" customHeight="1">
      <c r="A58" s="3" t="s">
        <v>2707</v>
      </c>
      <c r="B58" s="4"/>
      <c r="C58" s="4"/>
      <c r="D58" s="4"/>
      <c r="E58" s="4"/>
      <c r="F58" s="4"/>
      <c r="G58" s="4"/>
      <c r="H58" s="4"/>
    </row>
    <row r="59" ht="33.75" customHeight="1">
      <c r="A59" s="8" t="s">
        <v>2708</v>
      </c>
      <c r="B59" s="8" t="s">
        <v>2709</v>
      </c>
      <c r="C59" s="8" t="s">
        <v>2710</v>
      </c>
      <c r="D59" s="8" t="s">
        <v>2711</v>
      </c>
      <c r="E59" s="8" t="s">
        <v>2712</v>
      </c>
      <c r="F59" s="8" t="s">
        <v>2713</v>
      </c>
      <c r="G59" s="8" t="s">
        <v>2638</v>
      </c>
      <c r="H59" s="8" t="s">
        <v>2640</v>
      </c>
      <c r="I59" s="8" t="s">
        <v>2714</v>
      </c>
      <c r="J59" s="8" t="s">
        <v>2715</v>
      </c>
    </row>
    <row r="60" ht="15.75" customHeight="1">
      <c r="A60" s="70" t="s">
        <v>2716</v>
      </c>
      <c r="B60" s="68" t="s">
        <v>2717</v>
      </c>
      <c r="C60" s="71" t="s">
        <v>2718</v>
      </c>
      <c r="D60" s="72">
        <v>10000.0</v>
      </c>
      <c r="E60" s="72">
        <f t="array" ref="E60">MAX(INDEX('06_Tham_số'!$E:$E,MATCH("PRM-038",'06_Tham_số'!$A:$A,0)),CEILING(ROUND(((INDEX('06_Tham_số'!$E:$E,MATCH("PRM-026",'06_Tham_số'!$A:$A,0))+MAX(0,MIN($G60,INDEX('06_Tham_số'!$E:$E,MATCH("PRM-029",'06_Tham_số'!$A:$A,0)))-INDEX('06_Tham_số'!$E:$E,MATCH("PRM-027",'06_Tham_số'!$A:$A,0)))*INDEX('06_Tham_số'!$E:$E,MATCH("PRM-028",'06_Tham_số'!$A:$A,0))+MAX(0,$G60-INDEX('06_Tham_số'!$E:$E,MATCH("PRM-029",'06_Tham_số'!$A:$A,0)))*INDEX('06_Tham_số'!$E:$E,MATCH("PRM-030",'06_Tham_số'!$A:$A,0)))+IF($H60&lt;=2,0,IF($H60&lt;=5,INDEX('06_Tham_số'!$E:$E,MATCH("PRM-031",'06_Tham_số'!$A:$A,0)),IF($H60&lt;=10,INDEX('06_Tham_số'!$E:$E,MATCH("PRM-032",'06_Tham_số'!$A:$A,0)),INDEX('06_Tham_số'!$E:$E,MATCH("PRM-033",'06_Tham_số'!$A:$A,0)))))+IF($I60&lt;=INDEX('06_Tham_số'!$E:$E,MATCH("PRM-014",'06_Tham_số'!$A:$A,0)),0,IF($I60&lt;=INDEX('06_Tham_số'!$E:$E,MATCH("PRM-015",'06_Tham_số'!$A:$A,0)),INDEX('06_Tham_số'!$E:$E,MATCH("PRM-034",'06_Tham_số'!$A:$A,0)),INDEX('06_Tham_số'!$E:$E,MATCH("PRM-035",'06_Tham_số'!$A:$A,0)))))*IF($J60="Gấp",INDEX('06_Tham_số'!$E:$E,MATCH("PRM-036",'06_Tham_số'!$A:$A,0)),IF($J60="Trong ngày",INDEX('06_Tham_số'!$E:$E,MATCH("PRM-037",'06_Tham_số'!$A:$A,0)),1)),2),INDEX('06_Tham_số'!$E:$E,MATCH("PRM-053",'06_Tham_số'!$A:$A,0))))</f>
        <v>10000</v>
      </c>
      <c r="F60" s="73" t="str">
        <f t="shared" ref="F60:F79" si="1">IF(D60=E60,"ĐẠT","LỖI")</f>
        <v>ĐẠT</v>
      </c>
      <c r="G60" s="56">
        <v>1.0</v>
      </c>
      <c r="H60" s="56">
        <v>1.0</v>
      </c>
      <c r="I60" s="56">
        <v>20.0</v>
      </c>
      <c r="J60" s="56" t="s">
        <v>2719</v>
      </c>
    </row>
    <row r="61" ht="15.75" customHeight="1">
      <c r="A61" s="70" t="s">
        <v>2720</v>
      </c>
      <c r="B61" s="68" t="s">
        <v>2721</v>
      </c>
      <c r="C61" s="71" t="s">
        <v>2722</v>
      </c>
      <c r="D61" s="72">
        <v>10000.0</v>
      </c>
      <c r="E61" s="72">
        <f t="array" ref="E61">MAX(INDEX('06_Tham_số'!$E:$E,MATCH("PRM-038",'06_Tham_số'!$A:$A,0)),CEILING(ROUND(((INDEX('06_Tham_số'!$E:$E,MATCH("PRM-026",'06_Tham_số'!$A:$A,0))+MAX(0,MIN($G61,INDEX('06_Tham_số'!$E:$E,MATCH("PRM-029",'06_Tham_số'!$A:$A,0)))-INDEX('06_Tham_số'!$E:$E,MATCH("PRM-027",'06_Tham_số'!$A:$A,0)))*INDEX('06_Tham_số'!$E:$E,MATCH("PRM-028",'06_Tham_số'!$A:$A,0))+MAX(0,$G61-INDEX('06_Tham_số'!$E:$E,MATCH("PRM-029",'06_Tham_số'!$A:$A,0)))*INDEX('06_Tham_số'!$E:$E,MATCH("PRM-030",'06_Tham_số'!$A:$A,0)))+IF($H61&lt;=2,0,IF($H61&lt;=5,INDEX('06_Tham_số'!$E:$E,MATCH("PRM-031",'06_Tham_số'!$A:$A,0)),IF($H61&lt;=10,INDEX('06_Tham_số'!$E:$E,MATCH("PRM-032",'06_Tham_số'!$A:$A,0)),INDEX('06_Tham_số'!$E:$E,MATCH("PRM-033",'06_Tham_số'!$A:$A,0)))))+IF($I61&lt;=INDEX('06_Tham_số'!$E:$E,MATCH("PRM-014",'06_Tham_số'!$A:$A,0)),0,IF($I61&lt;=INDEX('06_Tham_số'!$E:$E,MATCH("PRM-015",'06_Tham_số'!$A:$A,0)),INDEX('06_Tham_số'!$E:$E,MATCH("PRM-034",'06_Tham_số'!$A:$A,0)),INDEX('06_Tham_số'!$E:$E,MATCH("PRM-035",'06_Tham_số'!$A:$A,0)))))*IF($J61="Gấp",INDEX('06_Tham_số'!$E:$E,MATCH("PRM-036",'06_Tham_số'!$A:$A,0)),IF($J61="Trong ngày",INDEX('06_Tham_số'!$E:$E,MATCH("PRM-037",'06_Tham_số'!$A:$A,0)),1)),2),INDEX('06_Tham_số'!$E:$E,MATCH("PRM-053",'06_Tham_số'!$A:$A,0))))</f>
        <v>10000</v>
      </c>
      <c r="F61" s="73" t="str">
        <f t="shared" si="1"/>
        <v>ĐẠT</v>
      </c>
      <c r="G61" s="56">
        <v>2.0</v>
      </c>
      <c r="H61" s="56">
        <v>2.0</v>
      </c>
      <c r="I61" s="56">
        <v>30.0</v>
      </c>
      <c r="J61" s="56" t="s">
        <v>2719</v>
      </c>
    </row>
    <row r="62" ht="15.75" customHeight="1">
      <c r="A62" s="70" t="s">
        <v>2723</v>
      </c>
      <c r="B62" s="68" t="s">
        <v>2724</v>
      </c>
      <c r="C62" s="71" t="s">
        <v>2725</v>
      </c>
      <c r="D62" s="72">
        <v>18500.0</v>
      </c>
      <c r="E62" s="72">
        <f t="array" ref="E62">MAX(INDEX('06_Tham_số'!$E:$E,MATCH("PRM-038",'06_Tham_số'!$A:$A,0)),CEILING(ROUND(((INDEX('06_Tham_số'!$E:$E,MATCH("PRM-026",'06_Tham_số'!$A:$A,0))+MAX(0,MIN($G62,INDEX('06_Tham_số'!$E:$E,MATCH("PRM-029",'06_Tham_số'!$A:$A,0)))-INDEX('06_Tham_số'!$E:$E,MATCH("PRM-027",'06_Tham_số'!$A:$A,0)))*INDEX('06_Tham_số'!$E:$E,MATCH("PRM-028",'06_Tham_số'!$A:$A,0))+MAX(0,$G62-INDEX('06_Tham_số'!$E:$E,MATCH("PRM-029",'06_Tham_số'!$A:$A,0)))*INDEX('06_Tham_số'!$E:$E,MATCH("PRM-030",'06_Tham_số'!$A:$A,0)))+IF($H62&lt;=2,0,IF($H62&lt;=5,INDEX('06_Tham_số'!$E:$E,MATCH("PRM-031",'06_Tham_số'!$A:$A,0)),IF($H62&lt;=10,INDEX('06_Tham_số'!$E:$E,MATCH("PRM-032",'06_Tham_số'!$A:$A,0)),INDEX('06_Tham_số'!$E:$E,MATCH("PRM-033",'06_Tham_số'!$A:$A,0)))))+IF($I62&lt;=INDEX('06_Tham_số'!$E:$E,MATCH("PRM-014",'06_Tham_số'!$A:$A,0)),0,IF($I62&lt;=INDEX('06_Tham_số'!$E:$E,MATCH("PRM-015",'06_Tham_số'!$A:$A,0)),INDEX('06_Tham_số'!$E:$E,MATCH("PRM-034",'06_Tham_số'!$A:$A,0)),INDEX('06_Tham_số'!$E:$E,MATCH("PRM-035",'06_Tham_số'!$A:$A,0)))))*IF($J62="Gấp",INDEX('06_Tham_số'!$E:$E,MATCH("PRM-036",'06_Tham_số'!$A:$A,0)),IF($J62="Trong ngày",INDEX('06_Tham_số'!$E:$E,MATCH("PRM-037",'06_Tham_số'!$A:$A,0)),1)),2),INDEX('06_Tham_số'!$E:$E,MATCH("PRM-053",'06_Tham_số'!$A:$A,0))))</f>
        <v>18500</v>
      </c>
      <c r="F62" s="73" t="str">
        <f t="shared" si="1"/>
        <v>ĐẠT</v>
      </c>
      <c r="G62" s="56">
        <v>3.0</v>
      </c>
      <c r="H62" s="56">
        <v>2.5</v>
      </c>
      <c r="I62" s="56">
        <v>30.0</v>
      </c>
      <c r="J62" s="56" t="s">
        <v>2719</v>
      </c>
    </row>
    <row r="63" ht="15.75" customHeight="1">
      <c r="A63" s="70" t="s">
        <v>2726</v>
      </c>
      <c r="B63" s="68" t="s">
        <v>2727</v>
      </c>
      <c r="C63" s="71" t="s">
        <v>2728</v>
      </c>
      <c r="D63" s="72">
        <v>30500.0</v>
      </c>
      <c r="E63" s="72">
        <f t="array" ref="E63">MAX(INDEX('06_Tham_số'!$E:$E,MATCH("PRM-038",'06_Tham_số'!$A:$A,0)),CEILING(ROUND(((INDEX('06_Tham_số'!$E:$E,MATCH("PRM-026",'06_Tham_số'!$A:$A,0))+MAX(0,MIN($G63,INDEX('06_Tham_số'!$E:$E,MATCH("PRM-029",'06_Tham_số'!$A:$A,0)))-INDEX('06_Tham_số'!$E:$E,MATCH("PRM-027",'06_Tham_số'!$A:$A,0)))*INDEX('06_Tham_số'!$E:$E,MATCH("PRM-028",'06_Tham_số'!$A:$A,0))+MAX(0,$G63-INDEX('06_Tham_số'!$E:$E,MATCH("PRM-029",'06_Tham_số'!$A:$A,0)))*INDEX('06_Tham_số'!$E:$E,MATCH("PRM-030",'06_Tham_số'!$A:$A,0)))+IF($H63&lt;=2,0,IF($H63&lt;=5,INDEX('06_Tham_số'!$E:$E,MATCH("PRM-031",'06_Tham_số'!$A:$A,0)),IF($H63&lt;=10,INDEX('06_Tham_số'!$E:$E,MATCH("PRM-032",'06_Tham_số'!$A:$A,0)),INDEX('06_Tham_số'!$E:$E,MATCH("PRM-033",'06_Tham_số'!$A:$A,0)))))+IF($I63&lt;=INDEX('06_Tham_số'!$E:$E,MATCH("PRM-014",'06_Tham_số'!$A:$A,0)),0,IF($I63&lt;=INDEX('06_Tham_số'!$E:$E,MATCH("PRM-015",'06_Tham_số'!$A:$A,0)),INDEX('06_Tham_số'!$E:$E,MATCH("PRM-034",'06_Tham_số'!$A:$A,0)),INDEX('06_Tham_số'!$E:$E,MATCH("PRM-035",'06_Tham_số'!$A:$A,0)))))*IF($J63="Gấp",INDEX('06_Tham_số'!$E:$E,MATCH("PRM-036",'06_Tham_số'!$A:$A,0)),IF($J63="Trong ngày",INDEX('06_Tham_số'!$E:$E,MATCH("PRM-037",'06_Tham_số'!$A:$A,0)),1)),2),INDEX('06_Tham_số'!$E:$E,MATCH("PRM-053",'06_Tham_số'!$A:$A,0))))</f>
        <v>30500</v>
      </c>
      <c r="F63" s="73" t="str">
        <f t="shared" si="1"/>
        <v>ĐẠT</v>
      </c>
      <c r="G63" s="56">
        <v>5.0</v>
      </c>
      <c r="H63" s="56">
        <v>5.0</v>
      </c>
      <c r="I63" s="56">
        <v>50.0</v>
      </c>
      <c r="J63" s="56" t="s">
        <v>2719</v>
      </c>
    </row>
    <row r="64" ht="15.75" customHeight="1">
      <c r="A64" s="70" t="s">
        <v>2729</v>
      </c>
      <c r="B64" s="68" t="s">
        <v>2730</v>
      </c>
      <c r="C64" s="71" t="s">
        <v>2731</v>
      </c>
      <c r="D64" s="72">
        <v>42500.0</v>
      </c>
      <c r="E64" s="72">
        <f t="array" ref="E64">MAX(INDEX('06_Tham_số'!$E:$E,MATCH("PRM-038",'06_Tham_số'!$A:$A,0)),CEILING(ROUND(((INDEX('06_Tham_số'!$E:$E,MATCH("PRM-026",'06_Tham_số'!$A:$A,0))+MAX(0,MIN($G64,INDEX('06_Tham_số'!$E:$E,MATCH("PRM-029",'06_Tham_số'!$A:$A,0)))-INDEX('06_Tham_số'!$E:$E,MATCH("PRM-027",'06_Tham_số'!$A:$A,0)))*INDEX('06_Tham_số'!$E:$E,MATCH("PRM-028",'06_Tham_số'!$A:$A,0))+MAX(0,$G64-INDEX('06_Tham_số'!$E:$E,MATCH("PRM-029",'06_Tham_số'!$A:$A,0)))*INDEX('06_Tham_số'!$E:$E,MATCH("PRM-030",'06_Tham_số'!$A:$A,0)))+IF($H64&lt;=2,0,IF($H64&lt;=5,INDEX('06_Tham_số'!$E:$E,MATCH("PRM-031",'06_Tham_số'!$A:$A,0)),IF($H64&lt;=10,INDEX('06_Tham_số'!$E:$E,MATCH("PRM-032",'06_Tham_số'!$A:$A,0)),INDEX('06_Tham_số'!$E:$E,MATCH("PRM-033",'06_Tham_số'!$A:$A,0)))))+IF($I64&lt;=INDEX('06_Tham_số'!$E:$E,MATCH("PRM-014",'06_Tham_số'!$A:$A,0)),0,IF($I64&lt;=INDEX('06_Tham_số'!$E:$E,MATCH("PRM-015",'06_Tham_số'!$A:$A,0)),INDEX('06_Tham_số'!$E:$E,MATCH("PRM-034",'06_Tham_số'!$A:$A,0)),INDEX('06_Tham_số'!$E:$E,MATCH("PRM-035",'06_Tham_số'!$A:$A,0)))))*IF($J64="Gấp",INDEX('06_Tham_số'!$E:$E,MATCH("PRM-036",'06_Tham_số'!$A:$A,0)),IF($J64="Trong ngày",INDEX('06_Tham_số'!$E:$E,MATCH("PRM-037",'06_Tham_số'!$A:$A,0)),1)),2),INDEX('06_Tham_số'!$E:$E,MATCH("PRM-053",'06_Tham_số'!$A:$A,0))))</f>
        <v>42500</v>
      </c>
      <c r="F64" s="73" t="str">
        <f t="shared" si="1"/>
        <v>ĐẠT</v>
      </c>
      <c r="G64" s="56">
        <v>5.0</v>
      </c>
      <c r="H64" s="56">
        <v>5.1</v>
      </c>
      <c r="I64" s="56">
        <v>51.0</v>
      </c>
      <c r="J64" s="56" t="s">
        <v>2719</v>
      </c>
    </row>
    <row r="65" ht="15.75" customHeight="1">
      <c r="A65" s="70" t="s">
        <v>2732</v>
      </c>
      <c r="B65" s="68" t="s">
        <v>2733</v>
      </c>
      <c r="C65" s="71" t="s">
        <v>2734</v>
      </c>
      <c r="D65" s="72">
        <v>58000.0</v>
      </c>
      <c r="E65" s="72">
        <f t="array" ref="E65">MAX(INDEX('06_Tham_số'!$E:$E,MATCH("PRM-038",'06_Tham_số'!$A:$A,0)),CEILING(ROUND(((INDEX('06_Tham_số'!$E:$E,MATCH("PRM-026",'06_Tham_số'!$A:$A,0))+MAX(0,MIN($G65,INDEX('06_Tham_số'!$E:$E,MATCH("PRM-029",'06_Tham_số'!$A:$A,0)))-INDEX('06_Tham_số'!$E:$E,MATCH("PRM-027",'06_Tham_số'!$A:$A,0)))*INDEX('06_Tham_số'!$E:$E,MATCH("PRM-028",'06_Tham_số'!$A:$A,0))+MAX(0,$G65-INDEX('06_Tham_số'!$E:$E,MATCH("PRM-029",'06_Tham_số'!$A:$A,0)))*INDEX('06_Tham_số'!$E:$E,MATCH("PRM-030",'06_Tham_số'!$A:$A,0)))+IF($H65&lt;=2,0,IF($H65&lt;=5,INDEX('06_Tham_số'!$E:$E,MATCH("PRM-031",'06_Tham_số'!$A:$A,0)),IF($H65&lt;=10,INDEX('06_Tham_số'!$E:$E,MATCH("PRM-032",'06_Tham_số'!$A:$A,0)),INDEX('06_Tham_số'!$E:$E,MATCH("PRM-033",'06_Tham_số'!$A:$A,0)))))+IF($I65&lt;=INDEX('06_Tham_số'!$E:$E,MATCH("PRM-014",'06_Tham_số'!$A:$A,0)),0,IF($I65&lt;=INDEX('06_Tham_số'!$E:$E,MATCH("PRM-015",'06_Tham_số'!$A:$A,0)),INDEX('06_Tham_số'!$E:$E,MATCH("PRM-034",'06_Tham_số'!$A:$A,0)),INDEX('06_Tham_số'!$E:$E,MATCH("PRM-035",'06_Tham_số'!$A:$A,0)))))*IF($J65="Gấp",INDEX('06_Tham_số'!$E:$E,MATCH("PRM-036",'06_Tham_số'!$A:$A,0)),IF($J65="Trong ngày",INDEX('06_Tham_số'!$E:$E,MATCH("PRM-037",'06_Tham_số'!$A:$A,0)),1)),2),INDEX('06_Tham_số'!$E:$E,MATCH("PRM-053",'06_Tham_số'!$A:$A,0))))</f>
        <v>58000</v>
      </c>
      <c r="F65" s="73" t="str">
        <f t="shared" si="1"/>
        <v>ĐẠT</v>
      </c>
      <c r="G65" s="56">
        <v>8.0</v>
      </c>
      <c r="H65" s="56">
        <v>10.0</v>
      </c>
      <c r="I65" s="56">
        <v>50.0</v>
      </c>
      <c r="J65" s="56" t="s">
        <v>2645</v>
      </c>
    </row>
    <row r="66" ht="15.75" customHeight="1">
      <c r="A66" s="70" t="s">
        <v>2735</v>
      </c>
      <c r="B66" s="68" t="s">
        <v>2736</v>
      </c>
      <c r="C66" s="71" t="s">
        <v>2737</v>
      </c>
      <c r="D66" s="72">
        <v>99000.0</v>
      </c>
      <c r="E66" s="72">
        <f t="array" ref="E66">MAX(INDEX('06_Tham_số'!$E:$E,MATCH("PRM-038",'06_Tham_số'!$A:$A,0)),CEILING(ROUND(((INDEX('06_Tham_số'!$E:$E,MATCH("PRM-026",'06_Tham_số'!$A:$A,0))+MAX(0,MIN($G66,INDEX('06_Tham_số'!$E:$E,MATCH("PRM-029",'06_Tham_số'!$A:$A,0)))-INDEX('06_Tham_số'!$E:$E,MATCH("PRM-027",'06_Tham_số'!$A:$A,0)))*INDEX('06_Tham_số'!$E:$E,MATCH("PRM-028",'06_Tham_số'!$A:$A,0))+MAX(0,$G66-INDEX('06_Tham_số'!$E:$E,MATCH("PRM-029",'06_Tham_số'!$A:$A,0)))*INDEX('06_Tham_số'!$E:$E,MATCH("PRM-030",'06_Tham_số'!$A:$A,0)))+IF($H66&lt;=2,0,IF($H66&lt;=5,INDEX('06_Tham_số'!$E:$E,MATCH("PRM-031",'06_Tham_số'!$A:$A,0)),IF($H66&lt;=10,INDEX('06_Tham_số'!$E:$E,MATCH("PRM-032",'06_Tham_số'!$A:$A,0)),INDEX('06_Tham_số'!$E:$E,MATCH("PRM-033",'06_Tham_số'!$A:$A,0)))))+IF($I66&lt;=INDEX('06_Tham_số'!$E:$E,MATCH("PRM-014",'06_Tham_số'!$A:$A,0)),0,IF($I66&lt;=INDEX('06_Tham_số'!$E:$E,MATCH("PRM-015",'06_Tham_số'!$A:$A,0)),INDEX('06_Tham_số'!$E:$E,MATCH("PRM-034",'06_Tham_số'!$A:$A,0)),INDEX('06_Tham_số'!$E:$E,MATCH("PRM-035",'06_Tham_số'!$A:$A,0)))))*IF($J66="Gấp",INDEX('06_Tham_số'!$E:$E,MATCH("PRM-036",'06_Tham_số'!$A:$A,0)),IF($J66="Trong ngày",INDEX('06_Tham_số'!$E:$E,MATCH("PRM-037",'06_Tham_số'!$A:$A,0)),1)),2),INDEX('06_Tham_số'!$E:$E,MATCH("PRM-053",'06_Tham_số'!$A:$A,0))))</f>
        <v>99000</v>
      </c>
      <c r="F66" s="73" t="str">
        <f t="shared" si="1"/>
        <v>ĐẠT</v>
      </c>
      <c r="G66" s="56">
        <v>8.0</v>
      </c>
      <c r="H66" s="56">
        <v>10.5</v>
      </c>
      <c r="I66" s="56">
        <v>60.0</v>
      </c>
      <c r="J66" s="56" t="s">
        <v>2738</v>
      </c>
    </row>
    <row r="67" ht="15.75" customHeight="1">
      <c r="A67" s="70" t="s">
        <v>2739</v>
      </c>
      <c r="B67" s="68" t="s">
        <v>2740</v>
      </c>
      <c r="C67" s="71" t="s">
        <v>2741</v>
      </c>
      <c r="D67" s="72">
        <v>80000.0</v>
      </c>
      <c r="E67" s="72">
        <f t="array" ref="E67">MAX(INDEX('06_Tham_số'!$E:$E,MATCH("PRM-038",'06_Tham_số'!$A:$A,0)),CEILING(ROUND(((INDEX('06_Tham_số'!$E:$E,MATCH("PRM-026",'06_Tham_số'!$A:$A,0))+MAX(0,MIN($G67,INDEX('06_Tham_số'!$E:$E,MATCH("PRM-029",'06_Tham_số'!$A:$A,0)))-INDEX('06_Tham_số'!$E:$E,MATCH("PRM-027",'06_Tham_số'!$A:$A,0)))*INDEX('06_Tham_số'!$E:$E,MATCH("PRM-028",'06_Tham_số'!$A:$A,0))+MAX(0,$G67-INDEX('06_Tham_số'!$E:$E,MATCH("PRM-029",'06_Tham_số'!$A:$A,0)))*INDEX('06_Tham_số'!$E:$E,MATCH("PRM-030",'06_Tham_số'!$A:$A,0)))+IF($H67&lt;=2,0,IF($H67&lt;=5,INDEX('06_Tham_số'!$E:$E,MATCH("PRM-031",'06_Tham_số'!$A:$A,0)),IF($H67&lt;=10,INDEX('06_Tham_số'!$E:$E,MATCH("PRM-032",'06_Tham_số'!$A:$A,0)),INDEX('06_Tham_số'!$E:$E,MATCH("PRM-033",'06_Tham_số'!$A:$A,0)))))+IF($I67&lt;=INDEX('06_Tham_số'!$E:$E,MATCH("PRM-014",'06_Tham_số'!$A:$A,0)),0,IF($I67&lt;=INDEX('06_Tham_số'!$E:$E,MATCH("PRM-015",'06_Tham_số'!$A:$A,0)),INDEX('06_Tham_số'!$E:$E,MATCH("PRM-034",'06_Tham_số'!$A:$A,0)),INDEX('06_Tham_số'!$E:$E,MATCH("PRM-035",'06_Tham_số'!$A:$A,0)))))*IF($J67="Gấp",INDEX('06_Tham_số'!$E:$E,MATCH("PRM-036",'06_Tham_số'!$A:$A,0)),IF($J67="Trong ngày",INDEX('06_Tham_số'!$E:$E,MATCH("PRM-037",'06_Tham_số'!$A:$A,0)),1)),2),INDEX('06_Tham_số'!$E:$E,MATCH("PRM-053",'06_Tham_số'!$A:$A,0))))</f>
        <v>80000</v>
      </c>
      <c r="F67" s="73" t="str">
        <f t="shared" si="1"/>
        <v>ĐẠT</v>
      </c>
      <c r="G67" s="56">
        <v>12.0</v>
      </c>
      <c r="H67" s="56">
        <v>20.0</v>
      </c>
      <c r="I67" s="56">
        <v>80.0</v>
      </c>
      <c r="J67" s="56" t="s">
        <v>2719</v>
      </c>
    </row>
    <row r="68" ht="15.75" customHeight="1">
      <c r="A68" s="70" t="s">
        <v>2742</v>
      </c>
      <c r="B68" s="68" t="s">
        <v>2743</v>
      </c>
      <c r="C68" s="71" t="s">
        <v>2744</v>
      </c>
      <c r="D68" s="72">
        <v>91000.0</v>
      </c>
      <c r="E68" s="72">
        <f t="array" ref="E68">MAX(INDEX('06_Tham_số'!$E:$E,MATCH("PRM-038",'06_Tham_số'!$A:$A,0)),CEILING(ROUND(((INDEX('06_Tham_số'!$E:$E,MATCH("PRM-026",'06_Tham_số'!$A:$A,0))+MAX(0,MIN($G68,INDEX('06_Tham_số'!$E:$E,MATCH("PRM-029",'06_Tham_số'!$A:$A,0)))-INDEX('06_Tham_số'!$E:$E,MATCH("PRM-027",'06_Tham_số'!$A:$A,0)))*INDEX('06_Tham_số'!$E:$E,MATCH("PRM-028",'06_Tham_số'!$A:$A,0))+MAX(0,$G68-INDEX('06_Tham_số'!$E:$E,MATCH("PRM-029",'06_Tham_số'!$A:$A,0)))*INDEX('06_Tham_số'!$E:$E,MATCH("PRM-030",'06_Tham_số'!$A:$A,0)))+IF($H68&lt;=2,0,IF($H68&lt;=5,INDEX('06_Tham_số'!$E:$E,MATCH("PRM-031",'06_Tham_số'!$A:$A,0)),IF($H68&lt;=10,INDEX('06_Tham_số'!$E:$E,MATCH("PRM-032",'06_Tham_số'!$A:$A,0)),INDEX('06_Tham_số'!$E:$E,MATCH("PRM-033",'06_Tham_số'!$A:$A,0)))))+IF($I68&lt;=INDEX('06_Tham_số'!$E:$E,MATCH("PRM-014",'06_Tham_số'!$A:$A,0)),0,IF($I68&lt;=INDEX('06_Tham_số'!$E:$E,MATCH("PRM-015",'06_Tham_số'!$A:$A,0)),INDEX('06_Tham_số'!$E:$E,MATCH("PRM-034",'06_Tham_số'!$A:$A,0)),INDEX('06_Tham_số'!$E:$E,MATCH("PRM-035",'06_Tham_số'!$A:$A,0)))))*IF($J68="Gấp",INDEX('06_Tham_số'!$E:$E,MATCH("PRM-036",'06_Tham_số'!$A:$A,0)),IF($J68="Trong ngày",INDEX('06_Tham_số'!$E:$E,MATCH("PRM-037",'06_Tham_số'!$A:$A,0)),1)),2),INDEX('06_Tham_số'!$E:$E,MATCH("PRM-053",'06_Tham_số'!$A:$A,0))))</f>
        <v>91000</v>
      </c>
      <c r="F68" s="73" t="str">
        <f t="shared" si="1"/>
        <v>ĐẠT</v>
      </c>
      <c r="G68" s="56">
        <v>15.0</v>
      </c>
      <c r="H68" s="56">
        <v>3.0</v>
      </c>
      <c r="I68" s="56">
        <v>25.0</v>
      </c>
      <c r="J68" s="56" t="s">
        <v>2738</v>
      </c>
    </row>
    <row r="69" ht="15.75" customHeight="1">
      <c r="A69" s="70" t="s">
        <v>2745</v>
      </c>
      <c r="B69" s="68" t="s">
        <v>2746</v>
      </c>
      <c r="C69" s="71" t="s">
        <v>2747</v>
      </c>
      <c r="D69" s="72">
        <v>150000.0</v>
      </c>
      <c r="E69" s="72">
        <f t="array" ref="E69">MAX(INDEX('06_Tham_số'!$E:$E,MATCH("PRM-038",'06_Tham_số'!$A:$A,0)),CEILING(ROUND(((INDEX('06_Tham_số'!$E:$E,MATCH("PRM-026",'06_Tham_số'!$A:$A,0))+MAX(0,MIN($G69,INDEX('06_Tham_số'!$E:$E,MATCH("PRM-029",'06_Tham_số'!$A:$A,0)))-INDEX('06_Tham_số'!$E:$E,MATCH("PRM-027",'06_Tham_số'!$A:$A,0)))*INDEX('06_Tham_số'!$E:$E,MATCH("PRM-028",'06_Tham_số'!$A:$A,0))+MAX(0,$G69-INDEX('06_Tham_số'!$E:$E,MATCH("PRM-029",'06_Tham_số'!$A:$A,0)))*INDEX('06_Tham_số'!$E:$E,MATCH("PRM-030",'06_Tham_số'!$A:$A,0)))+IF($H69&lt;=2,0,IF($H69&lt;=5,INDEX('06_Tham_số'!$E:$E,MATCH("PRM-031",'06_Tham_số'!$A:$A,0)),IF($H69&lt;=10,INDEX('06_Tham_số'!$E:$E,MATCH("PRM-032",'06_Tham_số'!$A:$A,0)),INDEX('06_Tham_số'!$E:$E,MATCH("PRM-033",'06_Tham_số'!$A:$A,0)))))+IF($I69&lt;=INDEX('06_Tham_số'!$E:$E,MATCH("PRM-014",'06_Tham_số'!$A:$A,0)),0,IF($I69&lt;=INDEX('06_Tham_số'!$E:$E,MATCH("PRM-015",'06_Tham_số'!$A:$A,0)),INDEX('06_Tham_số'!$E:$E,MATCH("PRM-034",'06_Tham_số'!$A:$A,0)),INDEX('06_Tham_số'!$E:$E,MATCH("PRM-035",'06_Tham_số'!$A:$A,0)))))*IF($J69="Gấp",INDEX('06_Tham_số'!$E:$E,MATCH("PRM-036",'06_Tham_số'!$A:$A,0)),IF($J69="Trong ngày",INDEX('06_Tham_số'!$E:$E,MATCH("PRM-037",'06_Tham_số'!$A:$A,0)),1)),2),INDEX('06_Tham_số'!$E:$E,MATCH("PRM-053",'06_Tham_số'!$A:$A,0))))</f>
        <v>150000</v>
      </c>
      <c r="F69" s="73" t="str">
        <f t="shared" si="1"/>
        <v>ĐẠT</v>
      </c>
      <c r="G69" s="56">
        <v>30.0</v>
      </c>
      <c r="H69" s="56">
        <v>7.0</v>
      </c>
      <c r="I69" s="56">
        <v>45.0</v>
      </c>
      <c r="J69" s="56" t="s">
        <v>2645</v>
      </c>
    </row>
    <row r="70" ht="15.75" customHeight="1">
      <c r="A70" s="70" t="s">
        <v>2748</v>
      </c>
      <c r="B70" s="68" t="s">
        <v>2749</v>
      </c>
      <c r="C70" s="71" t="s">
        <v>2750</v>
      </c>
      <c r="D70" s="72">
        <v>178000.0</v>
      </c>
      <c r="E70" s="72">
        <f t="array" ref="E70">MAX(INDEX('06_Tham_số'!$E:$E,MATCH("PRM-038",'06_Tham_số'!$A:$A,0)),CEILING(ROUND(((INDEX('06_Tham_số'!$E:$E,MATCH("PRM-026",'06_Tham_số'!$A:$A,0))+MAX(0,MIN($G70,INDEX('06_Tham_số'!$E:$E,MATCH("PRM-029",'06_Tham_số'!$A:$A,0)))-INDEX('06_Tham_số'!$E:$E,MATCH("PRM-027",'06_Tham_số'!$A:$A,0)))*INDEX('06_Tham_số'!$E:$E,MATCH("PRM-028",'06_Tham_số'!$A:$A,0))+MAX(0,$G70-INDEX('06_Tham_số'!$E:$E,MATCH("PRM-029",'06_Tham_số'!$A:$A,0)))*INDEX('06_Tham_số'!$E:$E,MATCH("PRM-030",'06_Tham_số'!$A:$A,0)))+IF($H70&lt;=2,0,IF($H70&lt;=5,INDEX('06_Tham_số'!$E:$E,MATCH("PRM-031",'06_Tham_số'!$A:$A,0)),IF($H70&lt;=10,INDEX('06_Tham_số'!$E:$E,MATCH("PRM-032",'06_Tham_số'!$A:$A,0)),INDEX('06_Tham_số'!$E:$E,MATCH("PRM-033",'06_Tham_số'!$A:$A,0)))))+IF($I70&lt;=INDEX('06_Tham_số'!$E:$E,MATCH("PRM-014",'06_Tham_số'!$A:$A,0)),0,IF($I70&lt;=INDEX('06_Tham_số'!$E:$E,MATCH("PRM-015",'06_Tham_số'!$A:$A,0)),INDEX('06_Tham_số'!$E:$E,MATCH("PRM-034",'06_Tham_số'!$A:$A,0)),INDEX('06_Tham_số'!$E:$E,MATCH("PRM-035",'06_Tham_số'!$A:$A,0)))))*IF($J70="Gấp",INDEX('06_Tham_số'!$E:$E,MATCH("PRM-036",'06_Tham_số'!$A:$A,0)),IF($J70="Trong ngày",INDEX('06_Tham_số'!$E:$E,MATCH("PRM-037",'06_Tham_số'!$A:$A,0)),1)),2),INDEX('06_Tham_số'!$E:$E,MATCH("PRM-053",'06_Tham_số'!$A:$A,0))))</f>
        <v>178000</v>
      </c>
      <c r="F70" s="73" t="str">
        <f t="shared" si="1"/>
        <v>ĐẠT</v>
      </c>
      <c r="G70" s="56">
        <v>50.0</v>
      </c>
      <c r="H70" s="56">
        <v>2.0</v>
      </c>
      <c r="I70" s="56">
        <v>30.0</v>
      </c>
      <c r="J70" s="56" t="s">
        <v>2719</v>
      </c>
    </row>
    <row r="71" ht="15.75" customHeight="1">
      <c r="A71" s="70" t="s">
        <v>2751</v>
      </c>
      <c r="B71" s="68" t="s">
        <v>2752</v>
      </c>
      <c r="C71" s="71" t="s">
        <v>2753</v>
      </c>
      <c r="D71" s="72">
        <v>180000.0</v>
      </c>
      <c r="E71" s="72">
        <f t="array" ref="E71">MAX(INDEX('06_Tham_số'!$E:$E,MATCH("PRM-038",'06_Tham_số'!$A:$A,0)),CEILING(ROUND(((INDEX('06_Tham_số'!$E:$E,MATCH("PRM-026",'06_Tham_số'!$A:$A,0))+MAX(0,MIN($G71,INDEX('06_Tham_số'!$E:$E,MATCH("PRM-029",'06_Tham_số'!$A:$A,0)))-INDEX('06_Tham_số'!$E:$E,MATCH("PRM-027",'06_Tham_số'!$A:$A,0)))*INDEX('06_Tham_số'!$E:$E,MATCH("PRM-028",'06_Tham_số'!$A:$A,0))+MAX(0,$G71-INDEX('06_Tham_số'!$E:$E,MATCH("PRM-029",'06_Tham_số'!$A:$A,0)))*INDEX('06_Tham_số'!$E:$E,MATCH("PRM-030",'06_Tham_số'!$A:$A,0)))+IF($H71&lt;=2,0,IF($H71&lt;=5,INDEX('06_Tham_số'!$E:$E,MATCH("PRM-031",'06_Tham_số'!$A:$A,0)),IF($H71&lt;=10,INDEX('06_Tham_số'!$E:$E,MATCH("PRM-032",'06_Tham_số'!$A:$A,0)),INDEX('06_Tham_số'!$E:$E,MATCH("PRM-033",'06_Tham_số'!$A:$A,0)))))+IF($I71&lt;=INDEX('06_Tham_số'!$E:$E,MATCH("PRM-014",'06_Tham_số'!$A:$A,0)),0,IF($I71&lt;=INDEX('06_Tham_số'!$E:$E,MATCH("PRM-015",'06_Tham_số'!$A:$A,0)),INDEX('06_Tham_số'!$E:$E,MATCH("PRM-034",'06_Tham_số'!$A:$A,0)),INDEX('06_Tham_số'!$E:$E,MATCH("PRM-035",'06_Tham_số'!$A:$A,0)))))*IF($J71="Gấp",INDEX('06_Tham_số'!$E:$E,MATCH("PRM-036",'06_Tham_số'!$A:$A,0)),IF($J71="Trong ngày",INDEX('06_Tham_số'!$E:$E,MATCH("PRM-037",'06_Tham_số'!$A:$A,0)),1)),2),INDEX('06_Tham_số'!$E:$E,MATCH("PRM-053",'06_Tham_số'!$A:$A,0))))</f>
        <v>180000</v>
      </c>
      <c r="F71" s="73" t="str">
        <f t="shared" si="1"/>
        <v>ĐẠT</v>
      </c>
      <c r="G71" s="56">
        <v>51.0</v>
      </c>
      <c r="H71" s="56">
        <v>2.0</v>
      </c>
      <c r="I71" s="56">
        <v>30.0</v>
      </c>
      <c r="J71" s="56" t="s">
        <v>2719</v>
      </c>
    </row>
    <row r="72" ht="15.75" customHeight="1">
      <c r="A72" s="70" t="s">
        <v>2754</v>
      </c>
      <c r="B72" s="68" t="s">
        <v>2755</v>
      </c>
      <c r="C72" s="71" t="s">
        <v>2756</v>
      </c>
      <c r="D72" s="72">
        <v>273000.0</v>
      </c>
      <c r="E72" s="72">
        <f t="array" ref="E72">MAX(INDEX('06_Tham_số'!$E:$E,MATCH("PRM-038",'06_Tham_số'!$A:$A,0)),CEILING(ROUND(((INDEX('06_Tham_số'!$E:$E,MATCH("PRM-026",'06_Tham_số'!$A:$A,0))+MAX(0,MIN($G72,INDEX('06_Tham_số'!$E:$E,MATCH("PRM-029",'06_Tham_số'!$A:$A,0)))-INDEX('06_Tham_số'!$E:$E,MATCH("PRM-027",'06_Tham_số'!$A:$A,0)))*INDEX('06_Tham_số'!$E:$E,MATCH("PRM-028",'06_Tham_số'!$A:$A,0))+MAX(0,$G72-INDEX('06_Tham_số'!$E:$E,MATCH("PRM-029",'06_Tham_số'!$A:$A,0)))*INDEX('06_Tham_số'!$E:$E,MATCH("PRM-030",'06_Tham_số'!$A:$A,0)))+IF($H72&lt;=2,0,IF($H72&lt;=5,INDEX('06_Tham_số'!$E:$E,MATCH("PRM-031",'06_Tham_số'!$A:$A,0)),IF($H72&lt;=10,INDEX('06_Tham_số'!$E:$E,MATCH("PRM-032",'06_Tham_số'!$A:$A,0)),INDEX('06_Tham_số'!$E:$E,MATCH("PRM-033",'06_Tham_số'!$A:$A,0)))))+IF($I72&lt;=INDEX('06_Tham_số'!$E:$E,MATCH("PRM-014",'06_Tham_số'!$A:$A,0)),0,IF($I72&lt;=INDEX('06_Tham_số'!$E:$E,MATCH("PRM-015",'06_Tham_số'!$A:$A,0)),INDEX('06_Tham_số'!$E:$E,MATCH("PRM-034",'06_Tham_số'!$A:$A,0)),INDEX('06_Tham_số'!$E:$E,MATCH("PRM-035",'06_Tham_số'!$A:$A,0)))))*IF($J72="Gấp",INDEX('06_Tham_số'!$E:$E,MATCH("PRM-036",'06_Tham_số'!$A:$A,0)),IF($J72="Trong ngày",INDEX('06_Tham_số'!$E:$E,MATCH("PRM-037",'06_Tham_số'!$A:$A,0)),1)),2),INDEX('06_Tham_số'!$E:$E,MATCH("PRM-053",'06_Tham_số'!$A:$A,0))))</f>
        <v>273000</v>
      </c>
      <c r="F72" s="73" t="str">
        <f t="shared" si="1"/>
        <v>ĐẠT</v>
      </c>
      <c r="G72" s="56">
        <v>80.0</v>
      </c>
      <c r="H72" s="56">
        <v>15.0</v>
      </c>
      <c r="I72" s="56">
        <v>70.0</v>
      </c>
      <c r="J72" s="56" t="s">
        <v>2719</v>
      </c>
    </row>
    <row r="73" ht="15.75" customHeight="1">
      <c r="A73" s="70" t="s">
        <v>2757</v>
      </c>
      <c r="B73" s="68" t="s">
        <v>2758</v>
      </c>
      <c r="C73" s="71" t="s">
        <v>2759</v>
      </c>
      <c r="D73" s="72">
        <v>469500.0</v>
      </c>
      <c r="E73" s="72">
        <f t="array" ref="E73">MAX(INDEX('06_Tham_số'!$E:$E,MATCH("PRM-038",'06_Tham_số'!$A:$A,0)),CEILING(ROUND(((INDEX('06_Tham_số'!$E:$E,MATCH("PRM-026",'06_Tham_số'!$A:$A,0))+MAX(0,MIN($G73,INDEX('06_Tham_số'!$E:$E,MATCH("PRM-029",'06_Tham_số'!$A:$A,0)))-INDEX('06_Tham_số'!$E:$E,MATCH("PRM-027",'06_Tham_số'!$A:$A,0)))*INDEX('06_Tham_số'!$E:$E,MATCH("PRM-028",'06_Tham_số'!$A:$A,0))+MAX(0,$G73-INDEX('06_Tham_số'!$E:$E,MATCH("PRM-029",'06_Tham_số'!$A:$A,0)))*INDEX('06_Tham_số'!$E:$E,MATCH("PRM-030",'06_Tham_số'!$A:$A,0)))+IF($H73&lt;=2,0,IF($H73&lt;=5,INDEX('06_Tham_số'!$E:$E,MATCH("PRM-031",'06_Tham_số'!$A:$A,0)),IF($H73&lt;=10,INDEX('06_Tham_số'!$E:$E,MATCH("PRM-032",'06_Tham_số'!$A:$A,0)),INDEX('06_Tham_số'!$E:$E,MATCH("PRM-033",'06_Tham_số'!$A:$A,0)))))+IF($I73&lt;=INDEX('06_Tham_số'!$E:$E,MATCH("PRM-014",'06_Tham_số'!$A:$A,0)),0,IF($I73&lt;=INDEX('06_Tham_số'!$E:$E,MATCH("PRM-015",'06_Tham_số'!$A:$A,0)),INDEX('06_Tham_số'!$E:$E,MATCH("PRM-034",'06_Tham_số'!$A:$A,0)),INDEX('06_Tham_số'!$E:$E,MATCH("PRM-035",'06_Tham_số'!$A:$A,0)))))*IF($J73="Gấp",INDEX('06_Tham_số'!$E:$E,MATCH("PRM-036",'06_Tham_số'!$A:$A,0)),IF($J73="Trong ngày",INDEX('06_Tham_số'!$E:$E,MATCH("PRM-037",'06_Tham_số'!$A:$A,0)),1)),2),INDEX('06_Tham_số'!$E:$E,MATCH("PRM-053",'06_Tham_số'!$A:$A,0))))</f>
        <v>469500</v>
      </c>
      <c r="F73" s="73" t="str">
        <f t="shared" si="1"/>
        <v>ĐẠT</v>
      </c>
      <c r="G73" s="56">
        <v>100.0</v>
      </c>
      <c r="H73" s="56">
        <v>20.0</v>
      </c>
      <c r="I73" s="56">
        <v>80.0</v>
      </c>
      <c r="J73" s="56" t="s">
        <v>2738</v>
      </c>
    </row>
    <row r="74" ht="15.75" customHeight="1">
      <c r="A74" s="70" t="s">
        <v>2760</v>
      </c>
      <c r="B74" s="68" t="s">
        <v>2761</v>
      </c>
      <c r="C74" s="71" t="s">
        <v>2762</v>
      </c>
      <c r="D74" s="72">
        <v>413000.0</v>
      </c>
      <c r="E74" s="72">
        <f t="array" ref="E74">MAX(INDEX('06_Tham_số'!$E:$E,MATCH("PRM-038",'06_Tham_số'!$A:$A,0)),CEILING(ROUND(((INDEX('06_Tham_số'!$E:$E,MATCH("PRM-026",'06_Tham_số'!$A:$A,0))+MAX(0,MIN($G74,INDEX('06_Tham_số'!$E:$E,MATCH("PRM-029",'06_Tham_số'!$A:$A,0)))-INDEX('06_Tham_số'!$E:$E,MATCH("PRM-027",'06_Tham_số'!$A:$A,0)))*INDEX('06_Tham_số'!$E:$E,MATCH("PRM-028",'06_Tham_số'!$A:$A,0))+MAX(0,$G74-INDEX('06_Tham_số'!$E:$E,MATCH("PRM-029",'06_Tham_số'!$A:$A,0)))*INDEX('06_Tham_số'!$E:$E,MATCH("PRM-030",'06_Tham_số'!$A:$A,0)))+IF($H74&lt;=2,0,IF($H74&lt;=5,INDEX('06_Tham_số'!$E:$E,MATCH("PRM-031",'06_Tham_số'!$A:$A,0)),IF($H74&lt;=10,INDEX('06_Tham_số'!$E:$E,MATCH("PRM-032",'06_Tham_số'!$A:$A,0)),INDEX('06_Tham_số'!$E:$E,MATCH("PRM-033",'06_Tham_số'!$A:$A,0)))))+IF($I74&lt;=INDEX('06_Tham_số'!$E:$E,MATCH("PRM-014",'06_Tham_số'!$A:$A,0)),0,IF($I74&lt;=INDEX('06_Tham_số'!$E:$E,MATCH("PRM-015",'06_Tham_số'!$A:$A,0)),INDEX('06_Tham_số'!$E:$E,MATCH("PRM-034",'06_Tham_số'!$A:$A,0)),INDEX('06_Tham_số'!$E:$E,MATCH("PRM-035",'06_Tham_số'!$A:$A,0)))))*IF($J74="Gấp",INDEX('06_Tham_số'!$E:$E,MATCH("PRM-036",'06_Tham_số'!$A:$A,0)),IF($J74="Trong ngày",INDEX('06_Tham_số'!$E:$E,MATCH("PRM-037",'06_Tham_số'!$A:$A,0)),1)),2),INDEX('06_Tham_số'!$E:$E,MATCH("PRM-053",'06_Tham_số'!$A:$A,0))))</f>
        <v>413000</v>
      </c>
      <c r="F74" s="73" t="str">
        <f t="shared" si="1"/>
        <v>ĐẠT</v>
      </c>
      <c r="G74" s="56">
        <v>150.0</v>
      </c>
      <c r="H74" s="56">
        <v>20.0</v>
      </c>
      <c r="I74" s="56">
        <v>80.0</v>
      </c>
      <c r="J74" s="56" t="s">
        <v>2719</v>
      </c>
    </row>
    <row r="75" ht="15.75" customHeight="1">
      <c r="A75" s="70" t="s">
        <v>2763</v>
      </c>
      <c r="B75" s="68" t="s">
        <v>2764</v>
      </c>
      <c r="C75" s="71" t="s">
        <v>2765</v>
      </c>
      <c r="D75" s="72">
        <v>10000.0</v>
      </c>
      <c r="E75" s="72">
        <f t="array" ref="E75">MAX(INDEX('06_Tham_số'!$E:$E,MATCH("PRM-038",'06_Tham_số'!$A:$A,0)),CEILING(ROUND(((INDEX('06_Tham_số'!$E:$E,MATCH("PRM-026",'06_Tham_số'!$A:$A,0))+MAX(0,MIN($G75,INDEX('06_Tham_số'!$E:$E,MATCH("PRM-029",'06_Tham_số'!$A:$A,0)))-INDEX('06_Tham_số'!$E:$E,MATCH("PRM-027",'06_Tham_số'!$A:$A,0)))*INDEX('06_Tham_số'!$E:$E,MATCH("PRM-028",'06_Tham_số'!$A:$A,0))+MAX(0,$G75-INDEX('06_Tham_số'!$E:$E,MATCH("PRM-029",'06_Tham_số'!$A:$A,0)))*INDEX('06_Tham_số'!$E:$E,MATCH("PRM-030",'06_Tham_số'!$A:$A,0)))+IF($H75&lt;=2,0,IF($H75&lt;=5,INDEX('06_Tham_số'!$E:$E,MATCH("PRM-031",'06_Tham_số'!$A:$A,0)),IF($H75&lt;=10,INDEX('06_Tham_số'!$E:$E,MATCH("PRM-032",'06_Tham_số'!$A:$A,0)),INDEX('06_Tham_số'!$E:$E,MATCH("PRM-033",'06_Tham_số'!$A:$A,0)))))+IF($I75&lt;=INDEX('06_Tham_số'!$E:$E,MATCH("PRM-014",'06_Tham_số'!$A:$A,0)),0,IF($I75&lt;=INDEX('06_Tham_số'!$E:$E,MATCH("PRM-015",'06_Tham_số'!$A:$A,0)),INDEX('06_Tham_số'!$E:$E,MATCH("PRM-034",'06_Tham_số'!$A:$A,0)),INDEX('06_Tham_số'!$E:$E,MATCH("PRM-035",'06_Tham_số'!$A:$A,0)))))*IF($J75="Gấp",INDEX('06_Tham_số'!$E:$E,MATCH("PRM-036",'06_Tham_số'!$A:$A,0)),IF($J75="Trong ngày",INDEX('06_Tham_số'!$E:$E,MATCH("PRM-037",'06_Tham_số'!$A:$A,0)),1)),2),INDEX('06_Tham_số'!$E:$E,MATCH("PRM-053",'06_Tham_số'!$A:$A,0))))</f>
        <v>10000</v>
      </c>
      <c r="F75" s="73" t="str">
        <f t="shared" si="1"/>
        <v>ĐẠT</v>
      </c>
      <c r="G75" s="56">
        <v>0.5</v>
      </c>
      <c r="H75" s="56">
        <v>0.2</v>
      </c>
      <c r="I75" s="56">
        <v>10.0</v>
      </c>
      <c r="J75" s="56" t="s">
        <v>2719</v>
      </c>
    </row>
    <row r="76" ht="15.75" customHeight="1">
      <c r="A76" s="70" t="s">
        <v>2766</v>
      </c>
      <c r="B76" s="68" t="s">
        <v>2767</v>
      </c>
      <c r="C76" s="71" t="s">
        <v>2768</v>
      </c>
      <c r="D76" s="72">
        <v>18000.0</v>
      </c>
      <c r="E76" s="72">
        <f t="array" ref="E76">MAX(INDEX('06_Tham_số'!$E:$E,MATCH("PRM-038",'06_Tham_số'!$A:$A,0)),CEILING(ROUND(((INDEX('06_Tham_số'!$E:$E,MATCH("PRM-026",'06_Tham_số'!$A:$A,0))+MAX(0,MIN($G76,INDEX('06_Tham_số'!$E:$E,MATCH("PRM-029",'06_Tham_số'!$A:$A,0)))-INDEX('06_Tham_số'!$E:$E,MATCH("PRM-027",'06_Tham_số'!$A:$A,0)))*INDEX('06_Tham_số'!$E:$E,MATCH("PRM-028",'06_Tham_số'!$A:$A,0))+MAX(0,$G76-INDEX('06_Tham_số'!$E:$E,MATCH("PRM-029",'06_Tham_số'!$A:$A,0)))*INDEX('06_Tham_số'!$E:$E,MATCH("PRM-030",'06_Tham_số'!$A:$A,0)))+IF($H76&lt;=2,0,IF($H76&lt;=5,INDEX('06_Tham_số'!$E:$E,MATCH("PRM-031",'06_Tham_số'!$A:$A,0)),IF($H76&lt;=10,INDEX('06_Tham_số'!$E:$E,MATCH("PRM-032",'06_Tham_số'!$A:$A,0)),INDEX('06_Tham_số'!$E:$E,MATCH("PRM-033",'06_Tham_số'!$A:$A,0)))))+IF($I76&lt;=INDEX('06_Tham_số'!$E:$E,MATCH("PRM-014",'06_Tham_số'!$A:$A,0)),0,IF($I76&lt;=INDEX('06_Tham_số'!$E:$E,MATCH("PRM-015",'06_Tham_số'!$A:$A,0)),INDEX('06_Tham_số'!$E:$E,MATCH("PRM-034",'06_Tham_số'!$A:$A,0)),INDEX('06_Tham_số'!$E:$E,MATCH("PRM-035",'06_Tham_số'!$A:$A,0)))))*IF($J76="Gấp",INDEX('06_Tham_số'!$E:$E,MATCH("PRM-036",'06_Tham_số'!$A:$A,0)),IF($J76="Trong ngày",INDEX('06_Tham_số'!$E:$E,MATCH("PRM-037",'06_Tham_số'!$A:$A,0)),1)),2),INDEX('06_Tham_số'!$E:$E,MATCH("PRM-053",'06_Tham_số'!$A:$A,0))))</f>
        <v>18000</v>
      </c>
      <c r="F76" s="73" t="str">
        <f t="shared" si="1"/>
        <v>ĐẠT</v>
      </c>
      <c r="G76" s="56">
        <v>2.5</v>
      </c>
      <c r="H76" s="56">
        <v>1.0</v>
      </c>
      <c r="I76" s="56">
        <v>30.0</v>
      </c>
      <c r="J76" s="56" t="s">
        <v>2738</v>
      </c>
    </row>
    <row r="77" ht="15.75" customHeight="1">
      <c r="A77" s="70" t="s">
        <v>2769</v>
      </c>
      <c r="B77" s="68" t="s">
        <v>2770</v>
      </c>
      <c r="C77" s="71" t="s">
        <v>2771</v>
      </c>
      <c r="D77" s="72">
        <v>39000.0</v>
      </c>
      <c r="E77" s="72">
        <f t="array" ref="E77">MAX(INDEX('06_Tham_số'!$E:$E,MATCH("PRM-038",'06_Tham_số'!$A:$A,0)),CEILING(ROUND(((INDEX('06_Tham_số'!$E:$E,MATCH("PRM-026",'06_Tham_số'!$A:$A,0))+MAX(0,MIN($G77,INDEX('06_Tham_số'!$E:$E,MATCH("PRM-029",'06_Tham_số'!$A:$A,0)))-INDEX('06_Tham_số'!$E:$E,MATCH("PRM-027",'06_Tham_số'!$A:$A,0)))*INDEX('06_Tham_số'!$E:$E,MATCH("PRM-028",'06_Tham_số'!$A:$A,0))+MAX(0,$G77-INDEX('06_Tham_số'!$E:$E,MATCH("PRM-029",'06_Tham_số'!$A:$A,0)))*INDEX('06_Tham_số'!$E:$E,MATCH("PRM-030",'06_Tham_số'!$A:$A,0)))+IF($H77&lt;=2,0,IF($H77&lt;=5,INDEX('06_Tham_số'!$E:$E,MATCH("PRM-031",'06_Tham_số'!$A:$A,0)),IF($H77&lt;=10,INDEX('06_Tham_số'!$E:$E,MATCH("PRM-032",'06_Tham_số'!$A:$A,0)),INDEX('06_Tham_số'!$E:$E,MATCH("PRM-033",'06_Tham_số'!$A:$A,0)))))+IF($I77&lt;=INDEX('06_Tham_số'!$E:$E,MATCH("PRM-014",'06_Tham_số'!$A:$A,0)),0,IF($I77&lt;=INDEX('06_Tham_số'!$E:$E,MATCH("PRM-015",'06_Tham_số'!$A:$A,0)),INDEX('06_Tham_số'!$E:$E,MATCH("PRM-034",'06_Tham_số'!$A:$A,0)),INDEX('06_Tham_số'!$E:$E,MATCH("PRM-035",'06_Tham_số'!$A:$A,0)))))*IF($J77="Gấp",INDEX('06_Tham_số'!$E:$E,MATCH("PRM-036",'06_Tham_số'!$A:$A,0)),IF($J77="Trong ngày",INDEX('06_Tham_số'!$E:$E,MATCH("PRM-037",'06_Tham_số'!$A:$A,0)),1)),2),INDEX('06_Tham_số'!$E:$E,MATCH("PRM-053",'06_Tham_số'!$A:$A,0))))</f>
        <v>39000</v>
      </c>
      <c r="F77" s="73" t="str">
        <f t="shared" si="1"/>
        <v>ĐẠT</v>
      </c>
      <c r="G77" s="56">
        <v>7.0</v>
      </c>
      <c r="H77" s="56">
        <v>4.9</v>
      </c>
      <c r="I77" s="56">
        <v>30.0</v>
      </c>
      <c r="J77" s="56" t="s">
        <v>2645</v>
      </c>
    </row>
    <row r="78" ht="15.75" customHeight="1">
      <c r="A78" s="70" t="s">
        <v>2772</v>
      </c>
      <c r="B78" s="68" t="s">
        <v>2773</v>
      </c>
      <c r="C78" s="71" t="s">
        <v>2774</v>
      </c>
      <c r="D78" s="72">
        <v>90000.0</v>
      </c>
      <c r="E78" s="72">
        <f t="array" ref="E78">MAX(INDEX('06_Tham_số'!$E:$E,MATCH("PRM-038",'06_Tham_số'!$A:$A,0)),CEILING(ROUND(((INDEX('06_Tham_số'!$E:$E,MATCH("PRM-026",'06_Tham_số'!$A:$A,0))+MAX(0,MIN($G78,INDEX('06_Tham_số'!$E:$E,MATCH("PRM-029",'06_Tham_số'!$A:$A,0)))-INDEX('06_Tham_số'!$E:$E,MATCH("PRM-027",'06_Tham_số'!$A:$A,0)))*INDEX('06_Tham_số'!$E:$E,MATCH("PRM-028",'06_Tham_số'!$A:$A,0))+MAX(0,$G78-INDEX('06_Tham_số'!$E:$E,MATCH("PRM-029",'06_Tham_số'!$A:$A,0)))*INDEX('06_Tham_số'!$E:$E,MATCH("PRM-030",'06_Tham_số'!$A:$A,0)))+IF($H78&lt;=2,0,IF($H78&lt;=5,INDEX('06_Tham_số'!$E:$E,MATCH("PRM-031",'06_Tham_số'!$A:$A,0)),IF($H78&lt;=10,INDEX('06_Tham_số'!$E:$E,MATCH("PRM-032",'06_Tham_số'!$A:$A,0)),INDEX('06_Tham_số'!$E:$E,MATCH("PRM-033",'06_Tham_số'!$A:$A,0)))))+IF($I78&lt;=INDEX('06_Tham_số'!$E:$E,MATCH("PRM-014",'06_Tham_số'!$A:$A,0)),0,IF($I78&lt;=INDEX('06_Tham_số'!$E:$E,MATCH("PRM-015",'06_Tham_số'!$A:$A,0)),INDEX('06_Tham_số'!$E:$E,MATCH("PRM-034",'06_Tham_số'!$A:$A,0)),INDEX('06_Tham_số'!$E:$E,MATCH("PRM-035",'06_Tham_số'!$A:$A,0)))))*IF($J78="Gấp",INDEX('06_Tham_số'!$E:$E,MATCH("PRM-036",'06_Tham_số'!$A:$A,0)),IF($J78="Trong ngày",INDEX('06_Tham_số'!$E:$E,MATCH("PRM-037",'06_Tham_số'!$A:$A,0)),1)),2),INDEX('06_Tham_số'!$E:$E,MATCH("PRM-053",'06_Tham_số'!$A:$A,0))))</f>
        <v>90000</v>
      </c>
      <c r="F78" s="73" t="str">
        <f t="shared" si="1"/>
        <v>ĐẠT</v>
      </c>
      <c r="G78" s="56">
        <v>20.0</v>
      </c>
      <c r="H78" s="56">
        <v>9.9</v>
      </c>
      <c r="I78" s="56">
        <v>50.0</v>
      </c>
      <c r="J78" s="56" t="s">
        <v>2719</v>
      </c>
    </row>
    <row r="79" ht="15.75" customHeight="1">
      <c r="A79" s="70" t="s">
        <v>2775</v>
      </c>
      <c r="B79" s="68" t="s">
        <v>2776</v>
      </c>
      <c r="C79" s="71" t="s">
        <v>2777</v>
      </c>
      <c r="D79" s="72">
        <v>193000.0</v>
      </c>
      <c r="E79" s="72">
        <f t="array" ref="E79">MAX(INDEX('06_Tham_số'!$E:$E,MATCH("PRM-038",'06_Tham_số'!$A:$A,0)),CEILING(ROUND(((INDEX('06_Tham_số'!$E:$E,MATCH("PRM-026",'06_Tham_số'!$A:$A,0))+MAX(0,MIN($G79,INDEX('06_Tham_số'!$E:$E,MATCH("PRM-029",'06_Tham_số'!$A:$A,0)))-INDEX('06_Tham_số'!$E:$E,MATCH("PRM-027",'06_Tham_số'!$A:$A,0)))*INDEX('06_Tham_số'!$E:$E,MATCH("PRM-028",'06_Tham_số'!$A:$A,0))+MAX(0,$G79-INDEX('06_Tham_số'!$E:$E,MATCH("PRM-029",'06_Tham_số'!$A:$A,0)))*INDEX('06_Tham_số'!$E:$E,MATCH("PRM-030",'06_Tham_số'!$A:$A,0)))+IF($H79&lt;=2,0,IF($H79&lt;=5,INDEX('06_Tham_số'!$E:$E,MATCH("PRM-031",'06_Tham_số'!$A:$A,0)),IF($H79&lt;=10,INDEX('06_Tham_số'!$E:$E,MATCH("PRM-032",'06_Tham_số'!$A:$A,0)),INDEX('06_Tham_số'!$E:$E,MATCH("PRM-033",'06_Tham_số'!$A:$A,0)))))+IF($I79&lt;=INDEX('06_Tham_số'!$E:$E,MATCH("PRM-014",'06_Tham_số'!$A:$A,0)),0,IF($I79&lt;=INDEX('06_Tham_số'!$E:$E,MATCH("PRM-015",'06_Tham_số'!$A:$A,0)),INDEX('06_Tham_số'!$E:$E,MATCH("PRM-034",'06_Tham_số'!$A:$A,0)),INDEX('06_Tham_số'!$E:$E,MATCH("PRM-035",'06_Tham_số'!$A:$A,0)))))*IF($J79="Gấp",INDEX('06_Tham_số'!$E:$E,MATCH("PRM-036",'06_Tham_số'!$A:$A,0)),IF($J79="Trong ngày",INDEX('06_Tham_số'!$E:$E,MATCH("PRM-037",'06_Tham_số'!$A:$A,0)),1)),2),INDEX('06_Tham_số'!$E:$E,MATCH("PRM-053",'06_Tham_số'!$A:$A,0))))</f>
        <v>193000</v>
      </c>
      <c r="F79" s="73" t="str">
        <f t="shared" si="1"/>
        <v>ĐẠT</v>
      </c>
      <c r="G79" s="56">
        <v>35.0</v>
      </c>
      <c r="H79" s="56">
        <v>12.0</v>
      </c>
      <c r="I79" s="56">
        <v>75.0</v>
      </c>
      <c r="J79" s="56" t="s">
        <v>2645</v>
      </c>
    </row>
    <row r="80" ht="15.75" customHeight="1">
      <c r="A80" s="5" t="s">
        <v>2778</v>
      </c>
      <c r="F80" s="5" t="str">
        <f>COUNTIF(F60:F79,"ĐẠT")&amp;"/"&amp;COUNTA(F60:F79)</f>
        <v>20/20</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40">
    <cfRule type="expression" dxfId="0" priority="1">
      <formula>$B$40&lt;&gt;"Cân bằng"</formula>
    </cfRule>
  </conditionalFormatting>
  <conditionalFormatting sqref="B16">
    <cfRule type="expression" dxfId="0" priority="2">
      <formula>$B$16&lt;&gt;"Hợp lệ"</formula>
    </cfRule>
  </conditionalFormatting>
  <conditionalFormatting sqref="F60:F79">
    <cfRule type="expression" dxfId="0" priority="3">
      <formula>F60="LỖI"</formula>
    </cfRule>
  </conditionalFormatting>
  <conditionalFormatting sqref="F60:F79">
    <cfRule type="expression" dxfId="1" priority="4">
      <formula>F60="ĐẠT"</formula>
    </cfRule>
  </conditionalFormatting>
  <dataValidations>
    <dataValidation type="list" allowBlank="1" sqref="B8">
      <formula1>"Thường,Trong ngày,Gấp"</formula1>
    </dataValidation>
    <dataValidation type="list" allowBlank="1" sqref="B10">
      <formula1>"Có,Không"</formula1>
    </dataValidation>
    <dataValidation type="list" allowBlank="1" sqref="B11">
      <formula1>"Tân binh,Đồng,Bạc,Vàng,Kim cương"</formula1>
    </dataValidation>
  </dataValidations>
  <printOptions/>
  <pageMargins bottom="1.0" footer="0.0" header="0.0" left="0.75" right="0.75" top="1.0"/>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sheetViews>
  <sheetFormatPr customHeight="1" defaultColWidth="14.43" defaultRowHeight="15.0"/>
  <cols>
    <col customWidth="1" min="1" max="1" width="20.0"/>
    <col customWidth="1" min="2" max="2" width="26.0"/>
    <col customWidth="1" min="3" max="4" width="30.0"/>
    <col customWidth="1" min="5" max="5" width="24.0"/>
    <col customWidth="1" min="6" max="6" width="40.0"/>
    <col customWidth="1" min="7" max="7" width="48.0"/>
    <col customWidth="1" min="8" max="8" width="14.0"/>
    <col customWidth="1" min="9" max="26" width="8.71"/>
  </cols>
  <sheetData>
    <row r="1" ht="25.5" customHeight="1">
      <c r="A1" s="1" t="s">
        <v>2779</v>
      </c>
    </row>
    <row r="2">
      <c r="A2" s="2" t="s">
        <v>2780</v>
      </c>
    </row>
    <row r="4" ht="21.75" customHeight="1">
      <c r="A4" s="3" t="s">
        <v>2781</v>
      </c>
      <c r="B4" s="4"/>
      <c r="C4" s="4"/>
      <c r="D4" s="4"/>
      <c r="E4" s="4"/>
      <c r="F4" s="4"/>
      <c r="G4" s="4"/>
      <c r="H4" s="4"/>
    </row>
    <row r="5" ht="21.75" customHeight="1">
      <c r="A5" s="8" t="s">
        <v>2782</v>
      </c>
      <c r="B5" s="8" t="s">
        <v>2783</v>
      </c>
      <c r="C5" s="8" t="s">
        <v>2784</v>
      </c>
      <c r="D5" s="24" t="s">
        <v>177</v>
      </c>
      <c r="E5" s="15"/>
      <c r="F5" s="15"/>
      <c r="G5" s="16"/>
      <c r="H5" s="8" t="s">
        <v>2785</v>
      </c>
    </row>
    <row r="6" ht="15.0" customHeight="1">
      <c r="A6" s="9" t="s">
        <v>2786</v>
      </c>
      <c r="B6" s="9" t="s">
        <v>2787</v>
      </c>
      <c r="C6" s="9" t="s">
        <v>2788</v>
      </c>
      <c r="D6" s="14" t="s">
        <v>2789</v>
      </c>
      <c r="E6" s="15"/>
      <c r="F6" s="15"/>
      <c r="G6" s="16"/>
      <c r="H6" s="21" t="s">
        <v>2790</v>
      </c>
    </row>
    <row r="7" ht="15.0" customHeight="1">
      <c r="A7" s="9" t="s">
        <v>2786</v>
      </c>
      <c r="B7" s="9" t="s">
        <v>2791</v>
      </c>
      <c r="C7" s="9" t="s">
        <v>2792</v>
      </c>
      <c r="D7" s="14" t="s">
        <v>2793</v>
      </c>
      <c r="E7" s="15"/>
      <c r="F7" s="15"/>
      <c r="G7" s="16"/>
      <c r="H7" s="21" t="s">
        <v>2790</v>
      </c>
    </row>
    <row r="8" ht="15.0" customHeight="1">
      <c r="A8" s="9" t="s">
        <v>2786</v>
      </c>
      <c r="B8" s="9" t="s">
        <v>2794</v>
      </c>
      <c r="C8" s="9" t="s">
        <v>2795</v>
      </c>
      <c r="D8" s="14" t="s">
        <v>2796</v>
      </c>
      <c r="E8" s="15"/>
      <c r="F8" s="15"/>
      <c r="G8" s="16"/>
      <c r="H8" s="26" t="s">
        <v>2650</v>
      </c>
    </row>
    <row r="9" ht="15.0" customHeight="1">
      <c r="A9" s="9" t="s">
        <v>2786</v>
      </c>
      <c r="B9" s="9" t="s">
        <v>2797</v>
      </c>
      <c r="C9" s="9" t="s">
        <v>2798</v>
      </c>
      <c r="D9" s="14" t="s">
        <v>2799</v>
      </c>
      <c r="E9" s="15"/>
      <c r="F9" s="15"/>
      <c r="G9" s="16"/>
      <c r="H9" s="21" t="s">
        <v>2790</v>
      </c>
    </row>
    <row r="10" ht="15.0" customHeight="1">
      <c r="A10" s="9" t="s">
        <v>2786</v>
      </c>
      <c r="B10" s="9" t="s">
        <v>2800</v>
      </c>
      <c r="C10" s="9" t="s">
        <v>2801</v>
      </c>
      <c r="D10" s="14" t="s">
        <v>2802</v>
      </c>
      <c r="E10" s="15"/>
      <c r="F10" s="15"/>
      <c r="G10" s="16"/>
      <c r="H10" s="21" t="s">
        <v>2790</v>
      </c>
    </row>
    <row r="11" ht="15.0" customHeight="1">
      <c r="A11" s="9" t="s">
        <v>2786</v>
      </c>
      <c r="B11" s="9" t="s">
        <v>2803</v>
      </c>
      <c r="C11" s="9" t="s">
        <v>2804</v>
      </c>
      <c r="D11" s="14" t="s">
        <v>2805</v>
      </c>
      <c r="E11" s="15"/>
      <c r="F11" s="15"/>
      <c r="G11" s="16"/>
      <c r="H11" s="21" t="s">
        <v>2790</v>
      </c>
    </row>
    <row r="12" ht="15.0" customHeight="1">
      <c r="A12" s="9" t="s">
        <v>2786</v>
      </c>
      <c r="B12" s="9" t="s">
        <v>2806</v>
      </c>
      <c r="C12" s="9" t="s">
        <v>2807</v>
      </c>
      <c r="D12" s="14" t="s">
        <v>2808</v>
      </c>
      <c r="E12" s="15"/>
      <c r="F12" s="15"/>
      <c r="G12" s="16"/>
      <c r="H12" s="21" t="s">
        <v>2790</v>
      </c>
    </row>
    <row r="13" ht="15.0" customHeight="1">
      <c r="A13" s="9" t="s">
        <v>2786</v>
      </c>
      <c r="B13" s="9" t="s">
        <v>2809</v>
      </c>
      <c r="C13" s="9" t="s">
        <v>2810</v>
      </c>
      <c r="D13" s="14" t="s">
        <v>2811</v>
      </c>
      <c r="E13" s="15"/>
      <c r="F13" s="15"/>
      <c r="G13" s="16"/>
      <c r="H13" s="21" t="s">
        <v>2790</v>
      </c>
    </row>
    <row r="14" ht="15.0" customHeight="1">
      <c r="A14" s="9" t="s">
        <v>2786</v>
      </c>
      <c r="B14" s="9" t="s">
        <v>2812</v>
      </c>
      <c r="C14" s="9" t="s">
        <v>2813</v>
      </c>
      <c r="D14" s="14" t="s">
        <v>2814</v>
      </c>
      <c r="E14" s="15"/>
      <c r="F14" s="15"/>
      <c r="G14" s="16"/>
      <c r="H14" s="21" t="s">
        <v>2790</v>
      </c>
    </row>
    <row r="15" ht="15.0" customHeight="1">
      <c r="A15" s="9" t="s">
        <v>2786</v>
      </c>
      <c r="B15" s="9" t="s">
        <v>2815</v>
      </c>
      <c r="C15" s="9" t="s">
        <v>2816</v>
      </c>
      <c r="D15" s="14" t="s">
        <v>2817</v>
      </c>
      <c r="E15" s="15"/>
      <c r="F15" s="15"/>
      <c r="G15" s="16"/>
      <c r="H15" s="26" t="s">
        <v>2650</v>
      </c>
    </row>
    <row r="16" ht="15.0" customHeight="1">
      <c r="A16" s="9" t="s">
        <v>2786</v>
      </c>
      <c r="B16" s="9" t="s">
        <v>2818</v>
      </c>
      <c r="C16" s="9" t="s">
        <v>2819</v>
      </c>
      <c r="D16" s="14" t="s">
        <v>2820</v>
      </c>
      <c r="E16" s="15"/>
      <c r="F16" s="15"/>
      <c r="G16" s="16"/>
      <c r="H16" s="26" t="s">
        <v>2650</v>
      </c>
    </row>
    <row r="17" ht="15.0" customHeight="1">
      <c r="A17" s="9" t="s">
        <v>2786</v>
      </c>
      <c r="B17" s="9" t="s">
        <v>2821</v>
      </c>
      <c r="C17" s="9" t="s">
        <v>2822</v>
      </c>
      <c r="D17" s="14" t="s">
        <v>2823</v>
      </c>
      <c r="E17" s="15"/>
      <c r="F17" s="15"/>
      <c r="G17" s="16"/>
      <c r="H17" s="26" t="s">
        <v>2650</v>
      </c>
    </row>
    <row r="18" ht="15.0" customHeight="1">
      <c r="A18" s="9" t="s">
        <v>2786</v>
      </c>
      <c r="B18" s="9" t="s">
        <v>2824</v>
      </c>
      <c r="C18" s="9" t="s">
        <v>2825</v>
      </c>
      <c r="D18" s="14" t="s">
        <v>2826</v>
      </c>
      <c r="E18" s="15"/>
      <c r="F18" s="15"/>
      <c r="G18" s="16"/>
      <c r="H18" s="21" t="s">
        <v>2790</v>
      </c>
    </row>
    <row r="19" ht="15.0" customHeight="1">
      <c r="A19" s="9" t="s">
        <v>2786</v>
      </c>
      <c r="B19" s="9" t="s">
        <v>2827</v>
      </c>
      <c r="C19" s="9" t="s">
        <v>2828</v>
      </c>
      <c r="D19" s="14" t="s">
        <v>2829</v>
      </c>
      <c r="E19" s="15"/>
      <c r="F19" s="15"/>
      <c r="G19" s="16"/>
      <c r="H19" s="21" t="s">
        <v>2790</v>
      </c>
    </row>
    <row r="20" ht="15.0" customHeight="1">
      <c r="A20" s="9" t="s">
        <v>2786</v>
      </c>
      <c r="B20" s="9" t="s">
        <v>2830</v>
      </c>
      <c r="C20" s="9" t="s">
        <v>2831</v>
      </c>
      <c r="D20" s="14" t="s">
        <v>2832</v>
      </c>
      <c r="E20" s="15"/>
      <c r="F20" s="15"/>
      <c r="G20" s="16"/>
      <c r="H20" s="26" t="s">
        <v>2650</v>
      </c>
    </row>
    <row r="21" ht="15.0" customHeight="1">
      <c r="A21" s="9" t="s">
        <v>2786</v>
      </c>
      <c r="B21" s="9" t="s">
        <v>2833</v>
      </c>
      <c r="C21" s="9" t="s">
        <v>2834</v>
      </c>
      <c r="D21" s="14" t="s">
        <v>2835</v>
      </c>
      <c r="E21" s="15"/>
      <c r="F21" s="15"/>
      <c r="G21" s="16"/>
      <c r="H21" s="21" t="s">
        <v>2790</v>
      </c>
    </row>
    <row r="22" ht="15.0" customHeight="1">
      <c r="A22" s="9" t="s">
        <v>2836</v>
      </c>
      <c r="B22" s="9" t="s">
        <v>2837</v>
      </c>
      <c r="C22" s="9" t="s">
        <v>2838</v>
      </c>
      <c r="D22" s="14" t="s">
        <v>2839</v>
      </c>
      <c r="E22" s="15"/>
      <c r="F22" s="15"/>
      <c r="G22" s="16"/>
      <c r="H22" s="21" t="s">
        <v>2790</v>
      </c>
    </row>
    <row r="23" ht="15.0" customHeight="1">
      <c r="A23" s="9" t="s">
        <v>2836</v>
      </c>
      <c r="B23" s="9" t="s">
        <v>2840</v>
      </c>
      <c r="C23" s="9" t="s">
        <v>2841</v>
      </c>
      <c r="D23" s="14" t="s">
        <v>2842</v>
      </c>
      <c r="E23" s="15"/>
      <c r="F23" s="15"/>
      <c r="G23" s="16"/>
      <c r="H23" s="26" t="s">
        <v>2650</v>
      </c>
    </row>
    <row r="24" ht="15.0" customHeight="1">
      <c r="A24" s="9" t="s">
        <v>2836</v>
      </c>
      <c r="B24" s="9" t="s">
        <v>2794</v>
      </c>
      <c r="C24" s="9" t="s">
        <v>2795</v>
      </c>
      <c r="D24" s="14" t="s">
        <v>2843</v>
      </c>
      <c r="E24" s="15"/>
      <c r="F24" s="15"/>
      <c r="G24" s="16"/>
      <c r="H24" s="26" t="s">
        <v>2650</v>
      </c>
    </row>
    <row r="25" ht="15.0" customHeight="1">
      <c r="A25" s="9" t="s">
        <v>2836</v>
      </c>
      <c r="B25" s="9" t="s">
        <v>2844</v>
      </c>
      <c r="C25" s="9" t="s">
        <v>2845</v>
      </c>
      <c r="D25" s="14" t="s">
        <v>2846</v>
      </c>
      <c r="E25" s="15"/>
      <c r="F25" s="15"/>
      <c r="G25" s="16"/>
      <c r="H25" s="26" t="s">
        <v>2650</v>
      </c>
    </row>
    <row r="26" ht="15.0" customHeight="1">
      <c r="A26" s="9" t="s">
        <v>2836</v>
      </c>
      <c r="B26" s="9" t="s">
        <v>2821</v>
      </c>
      <c r="C26" s="9" t="s">
        <v>2822</v>
      </c>
      <c r="D26" s="14" t="s">
        <v>2847</v>
      </c>
      <c r="E26" s="15"/>
      <c r="F26" s="15"/>
      <c r="G26" s="16"/>
      <c r="H26" s="26" t="s">
        <v>2650</v>
      </c>
    </row>
    <row r="27" ht="15.0" customHeight="1">
      <c r="A27" s="9" t="s">
        <v>2836</v>
      </c>
      <c r="B27" s="9" t="s">
        <v>2848</v>
      </c>
      <c r="C27" s="9" t="s">
        <v>2849</v>
      </c>
      <c r="D27" s="14" t="s">
        <v>2850</v>
      </c>
      <c r="E27" s="15"/>
      <c r="F27" s="15"/>
      <c r="G27" s="16"/>
      <c r="H27" s="26" t="s">
        <v>2650</v>
      </c>
    </row>
    <row r="28" ht="15.0" customHeight="1">
      <c r="A28" s="9" t="s">
        <v>2851</v>
      </c>
      <c r="B28" s="9" t="s">
        <v>2852</v>
      </c>
      <c r="C28" s="9" t="s">
        <v>2853</v>
      </c>
      <c r="D28" s="14" t="s">
        <v>2854</v>
      </c>
      <c r="E28" s="15"/>
      <c r="F28" s="15"/>
      <c r="G28" s="16"/>
      <c r="H28" s="21" t="s">
        <v>2790</v>
      </c>
    </row>
    <row r="29" ht="15.0" customHeight="1">
      <c r="A29" s="9" t="s">
        <v>2851</v>
      </c>
      <c r="B29" s="9" t="s">
        <v>2855</v>
      </c>
      <c r="C29" s="9" t="s">
        <v>2856</v>
      </c>
      <c r="D29" s="14" t="s">
        <v>2857</v>
      </c>
      <c r="E29" s="15"/>
      <c r="F29" s="15"/>
      <c r="G29" s="16"/>
      <c r="H29" s="21" t="s">
        <v>2790</v>
      </c>
    </row>
    <row r="30" ht="15.0" customHeight="1">
      <c r="A30" s="9" t="s">
        <v>2851</v>
      </c>
      <c r="B30" s="9" t="s">
        <v>2858</v>
      </c>
      <c r="C30" s="9" t="s">
        <v>2859</v>
      </c>
      <c r="D30" s="14" t="s">
        <v>2860</v>
      </c>
      <c r="E30" s="15"/>
      <c r="F30" s="15"/>
      <c r="G30" s="16"/>
      <c r="H30" s="21" t="s">
        <v>2790</v>
      </c>
    </row>
    <row r="31" ht="15.0" customHeight="1">
      <c r="A31" s="9" t="s">
        <v>2851</v>
      </c>
      <c r="B31" s="9" t="s">
        <v>2861</v>
      </c>
      <c r="C31" s="9" t="s">
        <v>2862</v>
      </c>
      <c r="D31" s="14" t="s">
        <v>2863</v>
      </c>
      <c r="E31" s="15"/>
      <c r="F31" s="15"/>
      <c r="G31" s="16"/>
      <c r="H31" s="26" t="s">
        <v>2650</v>
      </c>
    </row>
    <row r="32" ht="15.0" customHeight="1">
      <c r="A32" s="9" t="s">
        <v>2851</v>
      </c>
      <c r="B32" s="9" t="s">
        <v>2864</v>
      </c>
      <c r="C32" s="9" t="s">
        <v>2865</v>
      </c>
      <c r="D32" s="14" t="s">
        <v>2866</v>
      </c>
      <c r="E32" s="15"/>
      <c r="F32" s="15"/>
      <c r="G32" s="16"/>
      <c r="H32" s="26" t="s">
        <v>2650</v>
      </c>
    </row>
    <row r="33" ht="15.0" customHeight="1">
      <c r="A33" s="9" t="s">
        <v>2851</v>
      </c>
      <c r="B33" s="9" t="s">
        <v>2867</v>
      </c>
      <c r="C33" s="9" t="s">
        <v>2868</v>
      </c>
      <c r="D33" s="14" t="s">
        <v>2869</v>
      </c>
      <c r="E33" s="15"/>
      <c r="F33" s="15"/>
      <c r="G33" s="16"/>
      <c r="H33" s="26" t="s">
        <v>2650</v>
      </c>
    </row>
    <row r="34" ht="15.0" customHeight="1">
      <c r="A34" s="9" t="s">
        <v>2870</v>
      </c>
      <c r="B34" s="9" t="s">
        <v>2871</v>
      </c>
      <c r="C34" s="9" t="s">
        <v>2872</v>
      </c>
      <c r="D34" s="14" t="s">
        <v>2873</v>
      </c>
      <c r="E34" s="15"/>
      <c r="F34" s="15"/>
      <c r="G34" s="16"/>
      <c r="H34" s="21" t="s">
        <v>2790</v>
      </c>
    </row>
    <row r="35" ht="15.0" customHeight="1">
      <c r="A35" s="9" t="s">
        <v>2870</v>
      </c>
      <c r="B35" s="9" t="s">
        <v>2837</v>
      </c>
      <c r="C35" s="9" t="s">
        <v>2874</v>
      </c>
      <c r="D35" s="14" t="s">
        <v>2875</v>
      </c>
      <c r="E35" s="15"/>
      <c r="F35" s="15"/>
      <c r="G35" s="16"/>
      <c r="H35" s="21" t="s">
        <v>2790</v>
      </c>
    </row>
    <row r="36" ht="15.0" customHeight="1">
      <c r="A36" s="9" t="s">
        <v>2870</v>
      </c>
      <c r="B36" s="9" t="s">
        <v>2876</v>
      </c>
      <c r="C36" s="9" t="s">
        <v>2877</v>
      </c>
      <c r="D36" s="14" t="s">
        <v>2878</v>
      </c>
      <c r="E36" s="15"/>
      <c r="F36" s="15"/>
      <c r="G36" s="16"/>
      <c r="H36" s="26" t="s">
        <v>2650</v>
      </c>
    </row>
    <row r="37" ht="15.0" customHeight="1">
      <c r="A37" s="9" t="s">
        <v>2870</v>
      </c>
      <c r="B37" s="9" t="s">
        <v>2879</v>
      </c>
      <c r="C37" s="9" t="s">
        <v>2880</v>
      </c>
      <c r="D37" s="14" t="s">
        <v>2881</v>
      </c>
      <c r="E37" s="15"/>
      <c r="F37" s="15"/>
      <c r="G37" s="16"/>
      <c r="H37" s="26" t="s">
        <v>2650</v>
      </c>
    </row>
    <row r="38" ht="15.0" customHeight="1">
      <c r="A38" s="9" t="s">
        <v>2870</v>
      </c>
      <c r="B38" s="9" t="s">
        <v>2821</v>
      </c>
      <c r="C38" s="9" t="s">
        <v>2822</v>
      </c>
      <c r="D38" s="14" t="s">
        <v>2882</v>
      </c>
      <c r="E38" s="15"/>
      <c r="F38" s="15"/>
      <c r="G38" s="16"/>
      <c r="H38" s="26" t="s">
        <v>2650</v>
      </c>
    </row>
    <row r="39" ht="15.0" customHeight="1">
      <c r="A39" s="9" t="s">
        <v>2870</v>
      </c>
      <c r="B39" s="9" t="s">
        <v>2883</v>
      </c>
      <c r="C39" s="9" t="s">
        <v>2884</v>
      </c>
      <c r="D39" s="14" t="s">
        <v>2885</v>
      </c>
      <c r="E39" s="15"/>
      <c r="F39" s="15"/>
      <c r="G39" s="16"/>
      <c r="H39" s="21" t="s">
        <v>2790</v>
      </c>
    </row>
    <row r="40" ht="15.0" customHeight="1">
      <c r="A40" s="9" t="s">
        <v>2870</v>
      </c>
      <c r="B40" s="9" t="s">
        <v>2886</v>
      </c>
      <c r="C40" s="9" t="s">
        <v>2887</v>
      </c>
      <c r="D40" s="14" t="s">
        <v>2888</v>
      </c>
      <c r="E40" s="15"/>
      <c r="F40" s="15"/>
      <c r="G40" s="16"/>
      <c r="H40" s="21" t="s">
        <v>2790</v>
      </c>
    </row>
    <row r="41" ht="15.0" customHeight="1">
      <c r="A41" s="9" t="s">
        <v>2870</v>
      </c>
      <c r="B41" s="9" t="s">
        <v>2864</v>
      </c>
      <c r="C41" s="9" t="s">
        <v>2865</v>
      </c>
      <c r="D41" s="14" t="s">
        <v>2889</v>
      </c>
      <c r="E41" s="15"/>
      <c r="F41" s="15"/>
      <c r="G41" s="16"/>
      <c r="H41" s="26" t="s">
        <v>2650</v>
      </c>
    </row>
    <row r="42" ht="15.0" customHeight="1">
      <c r="A42" s="9" t="s">
        <v>2870</v>
      </c>
      <c r="B42" s="9" t="s">
        <v>2890</v>
      </c>
      <c r="C42" s="9" t="s">
        <v>2868</v>
      </c>
      <c r="D42" s="14" t="s">
        <v>2891</v>
      </c>
      <c r="E42" s="15"/>
      <c r="F42" s="15"/>
      <c r="G42" s="16"/>
      <c r="H42" s="26" t="s">
        <v>2650</v>
      </c>
    </row>
    <row r="43" ht="15.0" customHeight="1">
      <c r="A43" s="9" t="s">
        <v>2892</v>
      </c>
      <c r="B43" s="9" t="s">
        <v>2893</v>
      </c>
      <c r="C43" s="9" t="s">
        <v>2894</v>
      </c>
      <c r="D43" s="14" t="s">
        <v>2895</v>
      </c>
      <c r="E43" s="15"/>
      <c r="F43" s="15"/>
      <c r="G43" s="16"/>
      <c r="H43" s="21" t="s">
        <v>2790</v>
      </c>
    </row>
    <row r="44" ht="15.0" customHeight="1">
      <c r="A44" s="9" t="s">
        <v>2892</v>
      </c>
      <c r="B44" s="9" t="s">
        <v>2896</v>
      </c>
      <c r="C44" s="9" t="s">
        <v>2897</v>
      </c>
      <c r="D44" s="14" t="s">
        <v>2898</v>
      </c>
      <c r="E44" s="15"/>
      <c r="F44" s="15"/>
      <c r="G44" s="16"/>
      <c r="H44" s="21" t="s">
        <v>2790</v>
      </c>
    </row>
    <row r="45" ht="15.0" customHeight="1">
      <c r="A45" s="9" t="s">
        <v>2892</v>
      </c>
      <c r="B45" s="9" t="s">
        <v>2899</v>
      </c>
      <c r="C45" s="9" t="s">
        <v>2900</v>
      </c>
      <c r="D45" s="14" t="s">
        <v>2901</v>
      </c>
      <c r="E45" s="15"/>
      <c r="F45" s="15"/>
      <c r="G45" s="16"/>
      <c r="H45" s="21" t="s">
        <v>2790</v>
      </c>
    </row>
    <row r="46" ht="15.0" customHeight="1">
      <c r="A46" s="9" t="s">
        <v>2892</v>
      </c>
      <c r="B46" s="9" t="s">
        <v>2902</v>
      </c>
      <c r="C46" s="9" t="s">
        <v>2903</v>
      </c>
      <c r="D46" s="14" t="s">
        <v>2904</v>
      </c>
      <c r="E46" s="15"/>
      <c r="F46" s="15"/>
      <c r="G46" s="16"/>
      <c r="H46" s="21" t="s">
        <v>2790</v>
      </c>
    </row>
    <row r="47" ht="15.0" customHeight="1">
      <c r="A47" s="9" t="s">
        <v>2892</v>
      </c>
      <c r="B47" s="9" t="s">
        <v>2905</v>
      </c>
      <c r="C47" s="9" t="s">
        <v>2906</v>
      </c>
      <c r="D47" s="14" t="s">
        <v>2907</v>
      </c>
      <c r="E47" s="15"/>
      <c r="F47" s="15"/>
      <c r="G47" s="16"/>
      <c r="H47" s="21" t="s">
        <v>2790</v>
      </c>
    </row>
    <row r="48" ht="15.0" customHeight="1">
      <c r="A48" s="9" t="s">
        <v>2892</v>
      </c>
      <c r="B48" s="9" t="s">
        <v>2908</v>
      </c>
      <c r="C48" s="9" t="s">
        <v>2909</v>
      </c>
      <c r="D48" s="14" t="s">
        <v>2910</v>
      </c>
      <c r="E48" s="15"/>
      <c r="F48" s="15"/>
      <c r="G48" s="16"/>
      <c r="H48" s="26" t="s">
        <v>2650</v>
      </c>
    </row>
    <row r="49" ht="15.0" customHeight="1">
      <c r="A49" s="9" t="s">
        <v>2892</v>
      </c>
      <c r="B49" s="9" t="s">
        <v>2794</v>
      </c>
      <c r="C49" s="9" t="s">
        <v>2795</v>
      </c>
      <c r="D49" s="14" t="s">
        <v>2911</v>
      </c>
      <c r="E49" s="15"/>
      <c r="F49" s="15"/>
      <c r="G49" s="16"/>
      <c r="H49" s="26" t="s">
        <v>2650</v>
      </c>
    </row>
    <row r="50" ht="15.0" customHeight="1">
      <c r="A50" s="9" t="s">
        <v>2892</v>
      </c>
      <c r="B50" s="9" t="s">
        <v>2879</v>
      </c>
      <c r="C50" s="9" t="s">
        <v>2912</v>
      </c>
      <c r="D50" s="14" t="s">
        <v>2913</v>
      </c>
      <c r="E50" s="15"/>
      <c r="F50" s="15"/>
      <c r="G50" s="16"/>
      <c r="H50" s="26" t="s">
        <v>2650</v>
      </c>
    </row>
    <row r="51" ht="15.0" customHeight="1">
      <c r="A51" s="9" t="s">
        <v>2892</v>
      </c>
      <c r="B51" s="9" t="s">
        <v>2818</v>
      </c>
      <c r="C51" s="9" t="s">
        <v>2819</v>
      </c>
      <c r="D51" s="14" t="s">
        <v>2914</v>
      </c>
      <c r="E51" s="15"/>
      <c r="F51" s="15"/>
      <c r="G51" s="16"/>
      <c r="H51" s="26" t="s">
        <v>2650</v>
      </c>
    </row>
    <row r="52" ht="15.0" customHeight="1">
      <c r="A52" s="9" t="s">
        <v>117</v>
      </c>
      <c r="B52" s="9" t="s">
        <v>2915</v>
      </c>
      <c r="C52" s="9" t="s">
        <v>2916</v>
      </c>
      <c r="D52" s="14" t="s">
        <v>2917</v>
      </c>
      <c r="E52" s="15"/>
      <c r="F52" s="15"/>
      <c r="G52" s="16"/>
      <c r="H52" s="21" t="s">
        <v>2790</v>
      </c>
    </row>
    <row r="53" ht="15.0" customHeight="1">
      <c r="A53" s="9" t="s">
        <v>117</v>
      </c>
      <c r="B53" s="9" t="s">
        <v>2837</v>
      </c>
      <c r="C53" s="9" t="s">
        <v>2918</v>
      </c>
      <c r="D53" s="14" t="s">
        <v>2919</v>
      </c>
      <c r="E53" s="15"/>
      <c r="F53" s="15"/>
      <c r="G53" s="16"/>
      <c r="H53" s="21" t="s">
        <v>2790</v>
      </c>
    </row>
    <row r="54" ht="15.0" customHeight="1">
      <c r="A54" s="9" t="s">
        <v>117</v>
      </c>
      <c r="B54" s="9" t="s">
        <v>2902</v>
      </c>
      <c r="C54" s="9" t="s">
        <v>2903</v>
      </c>
      <c r="D54" s="14" t="s">
        <v>2920</v>
      </c>
      <c r="E54" s="15"/>
      <c r="F54" s="15"/>
      <c r="G54" s="16"/>
      <c r="H54" s="21" t="s">
        <v>2790</v>
      </c>
    </row>
    <row r="55" ht="15.0" customHeight="1">
      <c r="A55" s="9" t="s">
        <v>117</v>
      </c>
      <c r="B55" s="9" t="s">
        <v>2794</v>
      </c>
      <c r="C55" s="9" t="s">
        <v>2795</v>
      </c>
      <c r="D55" s="14" t="s">
        <v>2921</v>
      </c>
      <c r="E55" s="15"/>
      <c r="F55" s="15"/>
      <c r="G55" s="16"/>
      <c r="H55" s="21" t="s">
        <v>2790</v>
      </c>
    </row>
    <row r="56" ht="15.0" customHeight="1">
      <c r="A56" s="9" t="s">
        <v>2922</v>
      </c>
      <c r="B56" s="9" t="s">
        <v>2923</v>
      </c>
      <c r="C56" s="9" t="s">
        <v>2924</v>
      </c>
      <c r="D56" s="14" t="s">
        <v>2925</v>
      </c>
      <c r="E56" s="15"/>
      <c r="F56" s="15"/>
      <c r="G56" s="16"/>
      <c r="H56" s="21" t="s">
        <v>2790</v>
      </c>
    </row>
    <row r="57" ht="15.0" customHeight="1">
      <c r="A57" s="9" t="s">
        <v>2922</v>
      </c>
      <c r="B57" s="9" t="s">
        <v>2926</v>
      </c>
      <c r="C57" s="9" t="s">
        <v>2927</v>
      </c>
      <c r="D57" s="14" t="s">
        <v>2928</v>
      </c>
      <c r="E57" s="15"/>
      <c r="F57" s="15"/>
      <c r="G57" s="16"/>
      <c r="H57" s="21" t="s">
        <v>2790</v>
      </c>
    </row>
    <row r="58" ht="15.0" customHeight="1">
      <c r="A58" s="9" t="s">
        <v>2922</v>
      </c>
      <c r="B58" s="9" t="s">
        <v>2929</v>
      </c>
      <c r="C58" s="9" t="s">
        <v>2930</v>
      </c>
      <c r="D58" s="14" t="s">
        <v>2931</v>
      </c>
      <c r="E58" s="15"/>
      <c r="F58" s="15"/>
      <c r="G58" s="16"/>
      <c r="H58" s="21" t="s">
        <v>2790</v>
      </c>
    </row>
    <row r="59" ht="15.0" customHeight="1">
      <c r="A59" s="9" t="s">
        <v>2922</v>
      </c>
      <c r="B59" s="9" t="s">
        <v>2932</v>
      </c>
      <c r="C59" s="9" t="s">
        <v>2933</v>
      </c>
      <c r="D59" s="14" t="s">
        <v>2934</v>
      </c>
      <c r="E59" s="15"/>
      <c r="F59" s="15"/>
      <c r="G59" s="16"/>
      <c r="H59" s="21" t="s">
        <v>2790</v>
      </c>
    </row>
    <row r="60" ht="15.0" customHeight="1">
      <c r="A60" s="9" t="s">
        <v>2922</v>
      </c>
      <c r="B60" s="9" t="s">
        <v>2935</v>
      </c>
      <c r="C60" s="9" t="s">
        <v>2936</v>
      </c>
      <c r="D60" s="14" t="s">
        <v>2937</v>
      </c>
      <c r="E60" s="15"/>
      <c r="F60" s="15"/>
      <c r="G60" s="16"/>
      <c r="H60" s="26" t="s">
        <v>2650</v>
      </c>
    </row>
    <row r="61" ht="15.0" customHeight="1">
      <c r="A61" s="9" t="s">
        <v>2938</v>
      </c>
      <c r="B61" s="9" t="s">
        <v>2797</v>
      </c>
      <c r="C61" s="9" t="s">
        <v>2939</v>
      </c>
      <c r="D61" s="14" t="s">
        <v>2940</v>
      </c>
      <c r="E61" s="15"/>
      <c r="F61" s="15"/>
      <c r="G61" s="16"/>
      <c r="H61" s="21" t="s">
        <v>2790</v>
      </c>
    </row>
    <row r="62" ht="15.0" customHeight="1">
      <c r="A62" s="9" t="s">
        <v>2938</v>
      </c>
      <c r="B62" s="9" t="s">
        <v>2941</v>
      </c>
      <c r="C62" s="9" t="s">
        <v>2942</v>
      </c>
      <c r="D62" s="14" t="s">
        <v>2943</v>
      </c>
      <c r="E62" s="15"/>
      <c r="F62" s="15"/>
      <c r="G62" s="16"/>
      <c r="H62" s="21" t="s">
        <v>2790</v>
      </c>
    </row>
    <row r="63" ht="15.0" customHeight="1">
      <c r="A63" s="9" t="s">
        <v>2938</v>
      </c>
      <c r="B63" s="9" t="s">
        <v>2944</v>
      </c>
      <c r="C63" s="9" t="s">
        <v>2945</v>
      </c>
      <c r="D63" s="14" t="s">
        <v>2946</v>
      </c>
      <c r="E63" s="15"/>
      <c r="F63" s="15"/>
      <c r="G63" s="16"/>
      <c r="H63" s="21" t="s">
        <v>2790</v>
      </c>
    </row>
    <row r="64" ht="15.0" customHeight="1">
      <c r="A64" s="9" t="s">
        <v>2938</v>
      </c>
      <c r="B64" s="9" t="s">
        <v>2947</v>
      </c>
      <c r="C64" s="9" t="s">
        <v>2948</v>
      </c>
      <c r="D64" s="14" t="s">
        <v>2949</v>
      </c>
      <c r="E64" s="15"/>
      <c r="F64" s="15"/>
      <c r="G64" s="16"/>
      <c r="H64" s="21" t="s">
        <v>2790</v>
      </c>
    </row>
    <row r="65" ht="15.0" customHeight="1">
      <c r="A65" s="9" t="s">
        <v>2938</v>
      </c>
      <c r="B65" s="9" t="s">
        <v>2950</v>
      </c>
      <c r="C65" s="9" t="s">
        <v>2951</v>
      </c>
      <c r="D65" s="14" t="s">
        <v>2952</v>
      </c>
      <c r="E65" s="15"/>
      <c r="F65" s="15"/>
      <c r="G65" s="16"/>
      <c r="H65" s="21" t="s">
        <v>2790</v>
      </c>
    </row>
    <row r="66" ht="15.0" customHeight="1">
      <c r="A66" s="9" t="s">
        <v>2938</v>
      </c>
      <c r="B66" s="9" t="s">
        <v>2935</v>
      </c>
      <c r="C66" s="9" t="s">
        <v>2936</v>
      </c>
      <c r="D66" s="14" t="s">
        <v>2953</v>
      </c>
      <c r="E66" s="15"/>
      <c r="F66" s="15"/>
      <c r="G66" s="16"/>
      <c r="H66" s="26" t="s">
        <v>2650</v>
      </c>
    </row>
    <row r="67" ht="15.0" customHeight="1">
      <c r="A67" s="9" t="s">
        <v>124</v>
      </c>
      <c r="B67" s="9" t="s">
        <v>2954</v>
      </c>
      <c r="C67" s="9" t="s">
        <v>2955</v>
      </c>
      <c r="D67" s="14" t="s">
        <v>2956</v>
      </c>
      <c r="E67" s="15"/>
      <c r="F67" s="15"/>
      <c r="G67" s="16"/>
      <c r="H67" s="21" t="s">
        <v>2790</v>
      </c>
    </row>
    <row r="68" ht="15.0" customHeight="1">
      <c r="A68" s="9" t="s">
        <v>124</v>
      </c>
      <c r="B68" s="9" t="s">
        <v>2926</v>
      </c>
      <c r="C68" s="9" t="s">
        <v>2957</v>
      </c>
      <c r="D68" s="14" t="s">
        <v>2958</v>
      </c>
      <c r="E68" s="15"/>
      <c r="F68" s="15"/>
      <c r="G68" s="16"/>
      <c r="H68" s="21" t="s">
        <v>2790</v>
      </c>
    </row>
    <row r="69" ht="15.0" customHeight="1">
      <c r="A69" s="9" t="s">
        <v>124</v>
      </c>
      <c r="B69" s="9" t="s">
        <v>2959</v>
      </c>
      <c r="C69" s="9" t="s">
        <v>2960</v>
      </c>
      <c r="D69" s="14" t="s">
        <v>2961</v>
      </c>
      <c r="E69" s="15"/>
      <c r="F69" s="15"/>
      <c r="G69" s="16"/>
      <c r="H69" s="21" t="s">
        <v>2790</v>
      </c>
    </row>
    <row r="70" ht="15.0" customHeight="1">
      <c r="A70" s="9" t="s">
        <v>124</v>
      </c>
      <c r="B70" s="9" t="s">
        <v>2815</v>
      </c>
      <c r="C70" s="9" t="s">
        <v>2962</v>
      </c>
      <c r="D70" s="14" t="s">
        <v>2963</v>
      </c>
      <c r="E70" s="15"/>
      <c r="F70" s="15"/>
      <c r="G70" s="16"/>
      <c r="H70" s="26" t="s">
        <v>2650</v>
      </c>
    </row>
    <row r="71" ht="15.0" customHeight="1">
      <c r="A71" s="9" t="s">
        <v>124</v>
      </c>
      <c r="B71" s="9" t="s">
        <v>2818</v>
      </c>
      <c r="C71" s="9" t="s">
        <v>2819</v>
      </c>
      <c r="D71" s="14" t="s">
        <v>2964</v>
      </c>
      <c r="E71" s="15"/>
      <c r="F71" s="15"/>
      <c r="G71" s="16"/>
      <c r="H71" s="26" t="s">
        <v>2650</v>
      </c>
    </row>
    <row r="72" ht="15.75" customHeight="1"/>
    <row r="73" ht="21.75" customHeight="1">
      <c r="A73" s="3" t="s">
        <v>2965</v>
      </c>
      <c r="B73" s="4"/>
      <c r="C73" s="4"/>
      <c r="D73" s="4"/>
      <c r="E73" s="4"/>
      <c r="F73" s="4"/>
      <c r="G73" s="4"/>
      <c r="H73" s="4"/>
    </row>
    <row r="74" ht="24.0" customHeight="1">
      <c r="A74" s="8" t="s">
        <v>2966</v>
      </c>
      <c r="B74" s="8" t="s">
        <v>2967</v>
      </c>
      <c r="C74" s="8" t="s">
        <v>2968</v>
      </c>
      <c r="D74" s="8" t="s">
        <v>2969</v>
      </c>
      <c r="E74" s="8" t="s">
        <v>279</v>
      </c>
      <c r="F74" s="8" t="s">
        <v>2970</v>
      </c>
      <c r="G74" s="8" t="s">
        <v>2971</v>
      </c>
      <c r="H74" s="8" t="s">
        <v>346</v>
      </c>
    </row>
    <row r="75" ht="15.75" customHeight="1">
      <c r="A75" s="9" t="s">
        <v>2972</v>
      </c>
      <c r="B75" s="9" t="s">
        <v>2973</v>
      </c>
      <c r="C75" s="9" t="s">
        <v>2974</v>
      </c>
      <c r="D75" s="9" t="s">
        <v>2787</v>
      </c>
      <c r="E75" s="9" t="s">
        <v>215</v>
      </c>
      <c r="F75" s="9" t="s">
        <v>2975</v>
      </c>
      <c r="G75" s="9" t="s">
        <v>2976</v>
      </c>
      <c r="H75" s="21" t="s">
        <v>536</v>
      </c>
    </row>
    <row r="76" ht="15.75" customHeight="1">
      <c r="A76" s="9" t="s">
        <v>2972</v>
      </c>
      <c r="B76" s="9" t="s">
        <v>2787</v>
      </c>
      <c r="C76" s="9" t="s">
        <v>2977</v>
      </c>
      <c r="D76" s="9" t="s">
        <v>2791</v>
      </c>
      <c r="E76" s="9" t="s">
        <v>215</v>
      </c>
      <c r="F76" s="9" t="s">
        <v>2978</v>
      </c>
      <c r="G76" s="9" t="s">
        <v>2979</v>
      </c>
      <c r="H76" s="21" t="s">
        <v>536</v>
      </c>
    </row>
    <row r="77" ht="15.75" customHeight="1">
      <c r="A77" s="9" t="s">
        <v>2972</v>
      </c>
      <c r="B77" s="9" t="s">
        <v>2791</v>
      </c>
      <c r="C77" s="9" t="s">
        <v>2980</v>
      </c>
      <c r="D77" s="9" t="s">
        <v>2797</v>
      </c>
      <c r="E77" s="9" t="s">
        <v>2981</v>
      </c>
      <c r="F77" s="9" t="s">
        <v>2982</v>
      </c>
      <c r="G77" s="9" t="s">
        <v>2983</v>
      </c>
      <c r="H77" s="21" t="s">
        <v>1596</v>
      </c>
    </row>
    <row r="78" ht="15.75" customHeight="1">
      <c r="A78" s="9" t="s">
        <v>2972</v>
      </c>
      <c r="B78" s="9" t="s">
        <v>2791</v>
      </c>
      <c r="C78" s="9" t="s">
        <v>2984</v>
      </c>
      <c r="D78" s="9" t="s">
        <v>2794</v>
      </c>
      <c r="E78" s="9" t="s">
        <v>348</v>
      </c>
      <c r="F78" s="9" t="s">
        <v>2985</v>
      </c>
      <c r="G78" s="9" t="s">
        <v>2986</v>
      </c>
      <c r="H78" s="21" t="s">
        <v>425</v>
      </c>
    </row>
    <row r="79" ht="15.75" customHeight="1">
      <c r="A79" s="9" t="s">
        <v>2972</v>
      </c>
      <c r="B79" s="9" t="s">
        <v>2791</v>
      </c>
      <c r="C79" s="9" t="s">
        <v>2987</v>
      </c>
      <c r="D79" s="9" t="s">
        <v>2818</v>
      </c>
      <c r="E79" s="9" t="s">
        <v>215</v>
      </c>
      <c r="F79" s="9" t="s">
        <v>2988</v>
      </c>
      <c r="G79" s="9" t="s">
        <v>2989</v>
      </c>
      <c r="H79" s="21" t="s">
        <v>371</v>
      </c>
    </row>
    <row r="80" ht="15.75" customHeight="1">
      <c r="A80" s="9" t="s">
        <v>2972</v>
      </c>
      <c r="B80" s="9" t="s">
        <v>2797</v>
      </c>
      <c r="C80" s="9" t="s">
        <v>2990</v>
      </c>
      <c r="D80" s="9" t="s">
        <v>2800</v>
      </c>
      <c r="E80" s="9" t="s">
        <v>2991</v>
      </c>
      <c r="F80" s="9" t="s">
        <v>2992</v>
      </c>
      <c r="G80" s="9" t="s">
        <v>2993</v>
      </c>
      <c r="H80" s="21" t="s">
        <v>1327</v>
      </c>
    </row>
    <row r="81" ht="15.75" customHeight="1">
      <c r="A81" s="9" t="s">
        <v>2972</v>
      </c>
      <c r="B81" s="9" t="s">
        <v>2797</v>
      </c>
      <c r="C81" s="9" t="s">
        <v>2994</v>
      </c>
      <c r="D81" s="9" t="s">
        <v>2821</v>
      </c>
      <c r="E81" s="9" t="s">
        <v>317</v>
      </c>
      <c r="F81" s="9" t="s">
        <v>2995</v>
      </c>
      <c r="G81" s="9" t="s">
        <v>2986</v>
      </c>
      <c r="H81" s="21" t="s">
        <v>444</v>
      </c>
    </row>
    <row r="82" ht="15.75" customHeight="1">
      <c r="A82" s="9" t="s">
        <v>2972</v>
      </c>
      <c r="B82" s="9" t="s">
        <v>2797</v>
      </c>
      <c r="C82" s="9" t="s">
        <v>2987</v>
      </c>
      <c r="D82" s="9" t="s">
        <v>2818</v>
      </c>
      <c r="E82" s="9" t="s">
        <v>215</v>
      </c>
      <c r="F82" s="9" t="s">
        <v>2996</v>
      </c>
      <c r="G82" s="9" t="s">
        <v>2989</v>
      </c>
      <c r="H82" s="21" t="s">
        <v>371</v>
      </c>
    </row>
    <row r="83" ht="15.75" customHeight="1">
      <c r="A83" s="9" t="s">
        <v>2972</v>
      </c>
      <c r="B83" s="9" t="s">
        <v>2800</v>
      </c>
      <c r="C83" s="9" t="s">
        <v>2997</v>
      </c>
      <c r="D83" s="9" t="s">
        <v>2803</v>
      </c>
      <c r="E83" s="9" t="s">
        <v>317</v>
      </c>
      <c r="F83" s="9" t="s">
        <v>2998</v>
      </c>
      <c r="G83" s="9" t="s">
        <v>2999</v>
      </c>
      <c r="H83" s="21" t="s">
        <v>3000</v>
      </c>
    </row>
    <row r="84" ht="15.75" customHeight="1">
      <c r="A84" s="9" t="s">
        <v>2972</v>
      </c>
      <c r="B84" s="9" t="s">
        <v>2800</v>
      </c>
      <c r="C84" s="9" t="s">
        <v>3001</v>
      </c>
      <c r="D84" s="9" t="s">
        <v>2797</v>
      </c>
      <c r="E84" s="9" t="s">
        <v>3002</v>
      </c>
      <c r="F84" s="9" t="s">
        <v>3003</v>
      </c>
      <c r="G84" s="9" t="s">
        <v>3004</v>
      </c>
      <c r="H84" s="21" t="s">
        <v>444</v>
      </c>
    </row>
    <row r="85" ht="15.75" customHeight="1">
      <c r="A85" s="9" t="s">
        <v>2972</v>
      </c>
      <c r="B85" s="9" t="s">
        <v>2800</v>
      </c>
      <c r="C85" s="9" t="s">
        <v>2987</v>
      </c>
      <c r="D85" s="9" t="s">
        <v>2818</v>
      </c>
      <c r="E85" s="9" t="s">
        <v>215</v>
      </c>
      <c r="F85" s="9" t="s">
        <v>3005</v>
      </c>
      <c r="G85" s="9" t="s">
        <v>2989</v>
      </c>
      <c r="H85" s="21" t="s">
        <v>371</v>
      </c>
    </row>
    <row r="86" ht="15.75" customHeight="1">
      <c r="A86" s="9" t="s">
        <v>2972</v>
      </c>
      <c r="B86" s="9" t="s">
        <v>2803</v>
      </c>
      <c r="C86" s="9" t="s">
        <v>2987</v>
      </c>
      <c r="D86" s="9" t="s">
        <v>2818</v>
      </c>
      <c r="E86" s="9" t="s">
        <v>215</v>
      </c>
      <c r="F86" s="9" t="s">
        <v>3006</v>
      </c>
      <c r="G86" s="9" t="s">
        <v>3007</v>
      </c>
      <c r="H86" s="21" t="s">
        <v>1311</v>
      </c>
    </row>
    <row r="87" ht="15.75" customHeight="1">
      <c r="A87" s="9" t="s">
        <v>2972</v>
      </c>
      <c r="B87" s="9" t="s">
        <v>2803</v>
      </c>
      <c r="C87" s="9" t="s">
        <v>3008</v>
      </c>
      <c r="D87" s="9" t="s">
        <v>2797</v>
      </c>
      <c r="E87" s="9" t="s">
        <v>251</v>
      </c>
      <c r="F87" s="9" t="s">
        <v>3006</v>
      </c>
      <c r="G87" s="9" t="s">
        <v>3009</v>
      </c>
      <c r="H87" s="21" t="s">
        <v>1311</v>
      </c>
    </row>
    <row r="88" ht="15.75" customHeight="1">
      <c r="A88" s="9" t="s">
        <v>2972</v>
      </c>
      <c r="B88" s="9" t="s">
        <v>2803</v>
      </c>
      <c r="C88" s="9" t="s">
        <v>1410</v>
      </c>
      <c r="D88" s="9" t="s">
        <v>2818</v>
      </c>
      <c r="E88" s="9" t="s">
        <v>317</v>
      </c>
      <c r="F88" s="9" t="s">
        <v>3010</v>
      </c>
      <c r="G88" s="9" t="s">
        <v>3011</v>
      </c>
      <c r="H88" s="21" t="s">
        <v>1412</v>
      </c>
    </row>
    <row r="89" ht="15.75" customHeight="1">
      <c r="A89" s="9" t="s">
        <v>2972</v>
      </c>
      <c r="B89" s="9" t="s">
        <v>2803</v>
      </c>
      <c r="C89" s="9" t="s">
        <v>3012</v>
      </c>
      <c r="D89" s="9" t="s">
        <v>2806</v>
      </c>
      <c r="E89" s="9" t="s">
        <v>251</v>
      </c>
      <c r="F89" s="9" t="s">
        <v>3013</v>
      </c>
      <c r="G89" s="9" t="s">
        <v>3014</v>
      </c>
      <c r="H89" s="21" t="s">
        <v>673</v>
      </c>
    </row>
    <row r="90" ht="15.75" customHeight="1">
      <c r="A90" s="9" t="s">
        <v>2972</v>
      </c>
      <c r="B90" s="9" t="s">
        <v>2806</v>
      </c>
      <c r="C90" s="9" t="s">
        <v>3015</v>
      </c>
      <c r="D90" s="9" t="s">
        <v>2809</v>
      </c>
      <c r="E90" s="9" t="s">
        <v>251</v>
      </c>
      <c r="F90" s="9" t="s">
        <v>3016</v>
      </c>
      <c r="G90" s="9" t="s">
        <v>3017</v>
      </c>
      <c r="H90" s="21" t="s">
        <v>682</v>
      </c>
    </row>
    <row r="91" ht="15.75" customHeight="1">
      <c r="A91" s="9" t="s">
        <v>2972</v>
      </c>
      <c r="B91" s="9" t="s">
        <v>2809</v>
      </c>
      <c r="C91" s="9" t="s">
        <v>702</v>
      </c>
      <c r="D91" s="9" t="s">
        <v>2812</v>
      </c>
      <c r="E91" s="9" t="s">
        <v>251</v>
      </c>
      <c r="F91" s="9" t="s">
        <v>3018</v>
      </c>
      <c r="G91" s="9" t="s">
        <v>3019</v>
      </c>
      <c r="H91" s="21" t="s">
        <v>699</v>
      </c>
    </row>
    <row r="92" ht="15.75" customHeight="1">
      <c r="A92" s="9" t="s">
        <v>2972</v>
      </c>
      <c r="B92" s="9" t="s">
        <v>2809</v>
      </c>
      <c r="C92" s="9" t="s">
        <v>2825</v>
      </c>
      <c r="D92" s="9" t="s">
        <v>2824</v>
      </c>
      <c r="E92" s="9" t="s">
        <v>251</v>
      </c>
      <c r="F92" s="9" t="s">
        <v>3020</v>
      </c>
      <c r="G92" s="9" t="s">
        <v>2986</v>
      </c>
      <c r="H92" s="21" t="s">
        <v>713</v>
      </c>
    </row>
    <row r="93" ht="15.75" customHeight="1">
      <c r="A93" s="9" t="s">
        <v>2972</v>
      </c>
      <c r="B93" s="9" t="s">
        <v>2824</v>
      </c>
      <c r="C93" s="9" t="s">
        <v>3021</v>
      </c>
      <c r="D93" s="9" t="s">
        <v>2827</v>
      </c>
      <c r="E93" s="9" t="s">
        <v>317</v>
      </c>
      <c r="F93" s="9" t="s">
        <v>351</v>
      </c>
      <c r="G93" s="9" t="s">
        <v>3022</v>
      </c>
      <c r="H93" s="21" t="s">
        <v>713</v>
      </c>
    </row>
    <row r="94" ht="15.75" customHeight="1">
      <c r="A94" s="9" t="s">
        <v>2972</v>
      </c>
      <c r="B94" s="9" t="s">
        <v>2827</v>
      </c>
      <c r="C94" s="9" t="s">
        <v>3023</v>
      </c>
      <c r="D94" s="9" t="s">
        <v>2830</v>
      </c>
      <c r="E94" s="9" t="s">
        <v>215</v>
      </c>
      <c r="F94" s="9" t="s">
        <v>3024</v>
      </c>
      <c r="G94" s="9" t="s">
        <v>3025</v>
      </c>
      <c r="H94" s="21" t="s">
        <v>3026</v>
      </c>
    </row>
    <row r="95" ht="15.75" customHeight="1">
      <c r="A95" s="9" t="s">
        <v>2972</v>
      </c>
      <c r="B95" s="9" t="s">
        <v>2812</v>
      </c>
      <c r="C95" s="9" t="s">
        <v>3027</v>
      </c>
      <c r="D95" s="9" t="s">
        <v>2815</v>
      </c>
      <c r="E95" s="9" t="s">
        <v>317</v>
      </c>
      <c r="F95" s="9" t="s">
        <v>3028</v>
      </c>
      <c r="G95" s="9" t="s">
        <v>3029</v>
      </c>
      <c r="H95" s="21" t="s">
        <v>2018</v>
      </c>
    </row>
    <row r="96" ht="15.75" customHeight="1">
      <c r="A96" s="9" t="s">
        <v>2972</v>
      </c>
      <c r="B96" s="9" t="s">
        <v>2812</v>
      </c>
      <c r="C96" s="9" t="s">
        <v>2938</v>
      </c>
      <c r="D96" s="9" t="s">
        <v>2833</v>
      </c>
      <c r="E96" s="9" t="s">
        <v>3030</v>
      </c>
      <c r="F96" s="9" t="s">
        <v>3031</v>
      </c>
      <c r="G96" s="9" t="s">
        <v>3032</v>
      </c>
      <c r="H96" s="21" t="s">
        <v>416</v>
      </c>
    </row>
    <row r="97" ht="15.75" customHeight="1">
      <c r="A97" s="9" t="s">
        <v>2972</v>
      </c>
      <c r="B97" s="9" t="s">
        <v>2815</v>
      </c>
      <c r="C97" s="9" t="s">
        <v>3033</v>
      </c>
      <c r="D97" s="9" t="s">
        <v>2833</v>
      </c>
      <c r="E97" s="9" t="s">
        <v>3030</v>
      </c>
      <c r="F97" s="9" t="s">
        <v>3031</v>
      </c>
      <c r="G97" s="9" t="s">
        <v>3034</v>
      </c>
      <c r="H97" s="21" t="s">
        <v>416</v>
      </c>
    </row>
    <row r="98" ht="15.75" customHeight="1">
      <c r="A98" s="9" t="s">
        <v>2972</v>
      </c>
      <c r="B98" s="9" t="s">
        <v>2833</v>
      </c>
      <c r="C98" s="9" t="s">
        <v>3035</v>
      </c>
      <c r="D98" s="9" t="s">
        <v>2815</v>
      </c>
      <c r="E98" s="9" t="s">
        <v>348</v>
      </c>
      <c r="F98" s="9" t="s">
        <v>3036</v>
      </c>
      <c r="G98" s="9" t="s">
        <v>3037</v>
      </c>
      <c r="H98" s="21" t="s">
        <v>3038</v>
      </c>
    </row>
    <row r="99" ht="15.75" customHeight="1">
      <c r="A99" s="9" t="s">
        <v>2972</v>
      </c>
      <c r="B99" s="9" t="s">
        <v>3039</v>
      </c>
      <c r="C99" s="9" t="s">
        <v>3040</v>
      </c>
      <c r="D99" s="9" t="s">
        <v>2818</v>
      </c>
      <c r="E99" s="9" t="s">
        <v>349</v>
      </c>
      <c r="F99" s="9" t="s">
        <v>3041</v>
      </c>
      <c r="G99" s="9" t="s">
        <v>3042</v>
      </c>
      <c r="H99" s="21" t="s">
        <v>429</v>
      </c>
    </row>
    <row r="100" ht="15.75" customHeight="1">
      <c r="A100" s="9" t="s">
        <v>3043</v>
      </c>
      <c r="B100" s="9" t="s">
        <v>2973</v>
      </c>
      <c r="C100" s="9" t="s">
        <v>2997</v>
      </c>
      <c r="D100" s="9" t="s">
        <v>2852</v>
      </c>
      <c r="E100" s="9" t="s">
        <v>317</v>
      </c>
      <c r="F100" s="9" t="s">
        <v>3044</v>
      </c>
      <c r="G100" s="9" t="s">
        <v>3045</v>
      </c>
      <c r="H100" s="21" t="s">
        <v>399</v>
      </c>
    </row>
    <row r="101" ht="15.75" customHeight="1">
      <c r="A101" s="9" t="s">
        <v>3043</v>
      </c>
      <c r="B101" s="9" t="s">
        <v>2852</v>
      </c>
      <c r="C101" s="9" t="s">
        <v>3046</v>
      </c>
      <c r="D101" s="9" t="s">
        <v>2855</v>
      </c>
      <c r="E101" s="9" t="s">
        <v>317</v>
      </c>
      <c r="F101" s="9" t="s">
        <v>3047</v>
      </c>
      <c r="G101" s="9" t="s">
        <v>3048</v>
      </c>
      <c r="H101" s="21" t="s">
        <v>699</v>
      </c>
    </row>
    <row r="102" ht="15.75" customHeight="1">
      <c r="A102" s="9" t="s">
        <v>3043</v>
      </c>
      <c r="B102" s="9" t="s">
        <v>2852</v>
      </c>
      <c r="C102" s="9" t="s">
        <v>3049</v>
      </c>
      <c r="D102" s="9" t="s">
        <v>2864</v>
      </c>
      <c r="E102" s="9" t="s">
        <v>317</v>
      </c>
      <c r="F102" s="9" t="s">
        <v>3050</v>
      </c>
      <c r="G102" s="9" t="s">
        <v>3051</v>
      </c>
      <c r="H102" s="21" t="s">
        <v>808</v>
      </c>
    </row>
    <row r="103" ht="15.75" customHeight="1">
      <c r="A103" s="9" t="s">
        <v>3043</v>
      </c>
      <c r="B103" s="9" t="s">
        <v>2855</v>
      </c>
      <c r="C103" s="9" t="s">
        <v>3052</v>
      </c>
      <c r="D103" s="9" t="s">
        <v>2861</v>
      </c>
      <c r="E103" s="9" t="s">
        <v>317</v>
      </c>
      <c r="F103" s="9" t="s">
        <v>3053</v>
      </c>
      <c r="G103" s="9" t="s">
        <v>3054</v>
      </c>
      <c r="H103" s="21" t="s">
        <v>2018</v>
      </c>
    </row>
    <row r="104" ht="15.75" customHeight="1">
      <c r="A104" s="9" t="s">
        <v>3043</v>
      </c>
      <c r="B104" s="9" t="s">
        <v>2855</v>
      </c>
      <c r="C104" s="9" t="s">
        <v>2938</v>
      </c>
      <c r="D104" s="9" t="s">
        <v>2858</v>
      </c>
      <c r="E104" s="9" t="s">
        <v>317</v>
      </c>
      <c r="F104" s="9" t="s">
        <v>3055</v>
      </c>
      <c r="G104" s="9" t="s">
        <v>3056</v>
      </c>
      <c r="H104" s="21" t="s">
        <v>416</v>
      </c>
    </row>
    <row r="105" ht="15.75" customHeight="1">
      <c r="A105" s="9" t="s">
        <v>3043</v>
      </c>
      <c r="B105" s="9" t="s">
        <v>2858</v>
      </c>
      <c r="C105" s="9" t="s">
        <v>3035</v>
      </c>
      <c r="D105" s="9" t="s">
        <v>3057</v>
      </c>
      <c r="E105" s="9" t="s">
        <v>348</v>
      </c>
      <c r="F105" s="9" t="s">
        <v>3058</v>
      </c>
      <c r="G105" s="9" t="s">
        <v>3059</v>
      </c>
      <c r="H105" s="21" t="s">
        <v>418</v>
      </c>
    </row>
    <row r="106" ht="15.75" customHeight="1">
      <c r="A106" s="9" t="s">
        <v>3060</v>
      </c>
      <c r="B106" s="9" t="s">
        <v>2973</v>
      </c>
      <c r="C106" s="9" t="s">
        <v>3061</v>
      </c>
      <c r="D106" s="9" t="s">
        <v>2893</v>
      </c>
      <c r="E106" s="9" t="s">
        <v>251</v>
      </c>
      <c r="F106" s="9" t="s">
        <v>3062</v>
      </c>
      <c r="G106" s="9" t="s">
        <v>3063</v>
      </c>
      <c r="H106" s="21" t="s">
        <v>822</v>
      </c>
    </row>
    <row r="107" ht="15.75" customHeight="1">
      <c r="A107" s="9" t="s">
        <v>3060</v>
      </c>
      <c r="B107" s="9" t="s">
        <v>2893</v>
      </c>
      <c r="C107" s="9" t="s">
        <v>3064</v>
      </c>
      <c r="D107" s="9" t="s">
        <v>2896</v>
      </c>
      <c r="E107" s="9" t="s">
        <v>317</v>
      </c>
      <c r="F107" s="9" t="s">
        <v>351</v>
      </c>
      <c r="G107" s="9" t="s">
        <v>3065</v>
      </c>
      <c r="H107" s="21" t="s">
        <v>822</v>
      </c>
    </row>
    <row r="108" ht="15.75" customHeight="1">
      <c r="A108" s="9" t="s">
        <v>3060</v>
      </c>
      <c r="B108" s="9" t="s">
        <v>2896</v>
      </c>
      <c r="C108" s="9" t="s">
        <v>3066</v>
      </c>
      <c r="D108" s="9" t="s">
        <v>2899</v>
      </c>
      <c r="E108" s="9" t="s">
        <v>3067</v>
      </c>
      <c r="F108" s="9" t="s">
        <v>3068</v>
      </c>
      <c r="G108" s="9" t="s">
        <v>3069</v>
      </c>
      <c r="H108" s="21" t="s">
        <v>342</v>
      </c>
    </row>
    <row r="109" ht="15.75" customHeight="1">
      <c r="A109" s="9" t="s">
        <v>3060</v>
      </c>
      <c r="B109" s="9" t="s">
        <v>2899</v>
      </c>
      <c r="C109" s="9" t="s">
        <v>3070</v>
      </c>
      <c r="D109" s="9" t="s">
        <v>2902</v>
      </c>
      <c r="E109" s="9" t="s">
        <v>3071</v>
      </c>
      <c r="F109" s="9" t="s">
        <v>3072</v>
      </c>
      <c r="G109" s="9" t="s">
        <v>3069</v>
      </c>
      <c r="H109" s="21" t="s">
        <v>342</v>
      </c>
    </row>
    <row r="110" ht="15.75" customHeight="1">
      <c r="A110" s="9" t="s">
        <v>3060</v>
      </c>
      <c r="B110" s="9" t="s">
        <v>2896</v>
      </c>
      <c r="C110" s="9" t="s">
        <v>3073</v>
      </c>
      <c r="D110" s="9" t="s">
        <v>2902</v>
      </c>
      <c r="E110" s="9" t="s">
        <v>349</v>
      </c>
      <c r="F110" s="9" t="s">
        <v>3074</v>
      </c>
      <c r="G110" s="9" t="s">
        <v>3069</v>
      </c>
      <c r="H110" s="21" t="s">
        <v>342</v>
      </c>
    </row>
    <row r="111" ht="15.75" customHeight="1">
      <c r="A111" s="9" t="s">
        <v>3060</v>
      </c>
      <c r="B111" s="9" t="s">
        <v>2902</v>
      </c>
      <c r="C111" s="9" t="s">
        <v>3075</v>
      </c>
      <c r="D111" s="9" t="s">
        <v>2905</v>
      </c>
      <c r="E111" s="9" t="s">
        <v>3076</v>
      </c>
      <c r="F111" s="9" t="s">
        <v>351</v>
      </c>
      <c r="G111" s="9" t="s">
        <v>3077</v>
      </c>
      <c r="H111" s="21" t="s">
        <v>342</v>
      </c>
    </row>
    <row r="112" ht="15.75" customHeight="1">
      <c r="A112" s="9" t="s">
        <v>3060</v>
      </c>
      <c r="B112" s="9" t="s">
        <v>2905</v>
      </c>
      <c r="C112" s="9" t="s">
        <v>3078</v>
      </c>
      <c r="D112" s="9" t="s">
        <v>2908</v>
      </c>
      <c r="E112" s="9" t="s">
        <v>3076</v>
      </c>
      <c r="F112" s="9" t="s">
        <v>3079</v>
      </c>
      <c r="G112" s="9" t="s">
        <v>3080</v>
      </c>
      <c r="H112" s="21" t="s">
        <v>342</v>
      </c>
    </row>
    <row r="113" ht="15.75" customHeight="1">
      <c r="A113" s="9" t="s">
        <v>3060</v>
      </c>
      <c r="B113" s="9" t="s">
        <v>2905</v>
      </c>
      <c r="C113" s="9" t="s">
        <v>2912</v>
      </c>
      <c r="D113" s="9" t="s">
        <v>2879</v>
      </c>
      <c r="E113" s="9" t="s">
        <v>3076</v>
      </c>
      <c r="F113" s="9" t="s">
        <v>3081</v>
      </c>
      <c r="G113" s="9" t="s">
        <v>3082</v>
      </c>
      <c r="H113" s="21" t="s">
        <v>342</v>
      </c>
    </row>
    <row r="114" ht="15.75" customHeight="1">
      <c r="A114" s="9" t="s">
        <v>3060</v>
      </c>
      <c r="B114" s="9" t="s">
        <v>2896</v>
      </c>
      <c r="C114" s="9" t="s">
        <v>3083</v>
      </c>
      <c r="D114" s="9" t="s">
        <v>2794</v>
      </c>
      <c r="E114" s="9" t="s">
        <v>349</v>
      </c>
      <c r="F114" s="9" t="s">
        <v>2985</v>
      </c>
      <c r="G114" s="9" t="s">
        <v>3082</v>
      </c>
      <c r="H114" s="21" t="s">
        <v>342</v>
      </c>
    </row>
    <row r="115" ht="15.75" customHeight="1">
      <c r="A115" s="9" t="s">
        <v>3060</v>
      </c>
      <c r="B115" s="9" t="s">
        <v>3084</v>
      </c>
      <c r="C115" s="9" t="s">
        <v>3085</v>
      </c>
      <c r="D115" s="9" t="s">
        <v>2818</v>
      </c>
      <c r="E115" s="9" t="s">
        <v>251</v>
      </c>
      <c r="F115" s="9" t="s">
        <v>3086</v>
      </c>
      <c r="G115" s="9" t="s">
        <v>3082</v>
      </c>
      <c r="H115" s="21" t="s">
        <v>822</v>
      </c>
    </row>
    <row r="116" ht="15.75" customHeight="1">
      <c r="A116" s="9" t="s">
        <v>3087</v>
      </c>
      <c r="B116" s="9" t="s">
        <v>2973</v>
      </c>
      <c r="C116" s="9" t="s">
        <v>598</v>
      </c>
      <c r="D116" s="9" t="s">
        <v>2837</v>
      </c>
      <c r="E116" s="9" t="s">
        <v>251</v>
      </c>
      <c r="F116" s="9" t="s">
        <v>3088</v>
      </c>
      <c r="G116" s="9" t="s">
        <v>3089</v>
      </c>
      <c r="H116" s="21" t="s">
        <v>600</v>
      </c>
    </row>
    <row r="117" ht="15.75" customHeight="1">
      <c r="A117" s="9" t="s">
        <v>3087</v>
      </c>
      <c r="B117" s="9" t="s">
        <v>2837</v>
      </c>
      <c r="C117" s="9" t="s">
        <v>3090</v>
      </c>
      <c r="D117" s="9" t="s">
        <v>2840</v>
      </c>
      <c r="E117" s="9" t="s">
        <v>215</v>
      </c>
      <c r="F117" s="9" t="s">
        <v>351</v>
      </c>
      <c r="G117" s="9" t="s">
        <v>3091</v>
      </c>
      <c r="H117" s="21" t="s">
        <v>610</v>
      </c>
    </row>
    <row r="118" ht="15.75" customHeight="1">
      <c r="A118" s="9" t="s">
        <v>3087</v>
      </c>
      <c r="B118" s="9" t="s">
        <v>2837</v>
      </c>
      <c r="C118" s="9" t="s">
        <v>3083</v>
      </c>
      <c r="D118" s="9" t="s">
        <v>2794</v>
      </c>
      <c r="E118" s="9" t="s">
        <v>215</v>
      </c>
      <c r="F118" s="9" t="s">
        <v>351</v>
      </c>
      <c r="G118" s="9" t="s">
        <v>3092</v>
      </c>
      <c r="H118" s="21" t="s">
        <v>610</v>
      </c>
    </row>
    <row r="119" ht="15.75" customHeight="1">
      <c r="A119" s="9" t="s">
        <v>3087</v>
      </c>
      <c r="B119" s="9" t="s">
        <v>2837</v>
      </c>
      <c r="C119" s="9" t="s">
        <v>3093</v>
      </c>
      <c r="D119" s="9" t="s">
        <v>2844</v>
      </c>
      <c r="E119" s="9" t="s">
        <v>215</v>
      </c>
      <c r="F119" s="9" t="s">
        <v>3094</v>
      </c>
      <c r="G119" s="9" t="s">
        <v>3095</v>
      </c>
      <c r="H119" s="21" t="s">
        <v>610</v>
      </c>
    </row>
    <row r="120" ht="15.75" customHeight="1">
      <c r="A120" s="9" t="s">
        <v>3087</v>
      </c>
      <c r="B120" s="9" t="s">
        <v>2837</v>
      </c>
      <c r="C120" s="9" t="s">
        <v>2822</v>
      </c>
      <c r="D120" s="9" t="s">
        <v>2821</v>
      </c>
      <c r="E120" s="9" t="s">
        <v>317</v>
      </c>
      <c r="F120" s="9" t="s">
        <v>3096</v>
      </c>
      <c r="G120" s="9" t="s">
        <v>351</v>
      </c>
      <c r="H120" s="21" t="s">
        <v>444</v>
      </c>
    </row>
    <row r="121" ht="15.75" customHeight="1">
      <c r="A121" s="9" t="s">
        <v>3097</v>
      </c>
      <c r="B121" s="9" t="s">
        <v>2973</v>
      </c>
      <c r="C121" s="9" t="s">
        <v>3098</v>
      </c>
      <c r="D121" s="9" t="s">
        <v>2871</v>
      </c>
      <c r="E121" s="9" t="s">
        <v>317</v>
      </c>
      <c r="F121" s="9" t="s">
        <v>3099</v>
      </c>
      <c r="G121" s="9" t="s">
        <v>3100</v>
      </c>
      <c r="H121" s="21" t="s">
        <v>757</v>
      </c>
    </row>
    <row r="122" ht="15.75" customHeight="1">
      <c r="A122" s="9" t="s">
        <v>3097</v>
      </c>
      <c r="B122" s="9" t="s">
        <v>2871</v>
      </c>
      <c r="C122" s="9" t="s">
        <v>3101</v>
      </c>
      <c r="D122" s="9" t="s">
        <v>2837</v>
      </c>
      <c r="E122" s="9" t="s">
        <v>317</v>
      </c>
      <c r="F122" s="9" t="s">
        <v>351</v>
      </c>
      <c r="G122" s="9" t="s">
        <v>3102</v>
      </c>
      <c r="H122" s="21" t="s">
        <v>752</v>
      </c>
    </row>
    <row r="123" ht="15.75" customHeight="1">
      <c r="A123" s="9" t="s">
        <v>3097</v>
      </c>
      <c r="B123" s="9" t="s">
        <v>2837</v>
      </c>
      <c r="C123" s="9" t="s">
        <v>3103</v>
      </c>
      <c r="D123" s="9" t="s">
        <v>2876</v>
      </c>
      <c r="E123" s="9" t="s">
        <v>258</v>
      </c>
      <c r="F123" s="9" t="s">
        <v>3104</v>
      </c>
      <c r="G123" s="9" t="s">
        <v>3105</v>
      </c>
      <c r="H123" s="21" t="s">
        <v>766</v>
      </c>
    </row>
    <row r="124" ht="15.75" customHeight="1">
      <c r="A124" s="9" t="s">
        <v>3097</v>
      </c>
      <c r="B124" s="9" t="s">
        <v>2837</v>
      </c>
      <c r="C124" s="9" t="s">
        <v>3106</v>
      </c>
      <c r="D124" s="9" t="s">
        <v>2879</v>
      </c>
      <c r="E124" s="9" t="s">
        <v>258</v>
      </c>
      <c r="F124" s="9" t="s">
        <v>3107</v>
      </c>
      <c r="G124" s="9" t="s">
        <v>3108</v>
      </c>
      <c r="H124" s="21" t="s">
        <v>766</v>
      </c>
    </row>
    <row r="125" ht="15.75" customHeight="1">
      <c r="A125" s="9" t="s">
        <v>3097</v>
      </c>
      <c r="B125" s="9" t="s">
        <v>2837</v>
      </c>
      <c r="C125" s="9" t="s">
        <v>3109</v>
      </c>
      <c r="D125" s="9" t="s">
        <v>2821</v>
      </c>
      <c r="E125" s="9" t="s">
        <v>317</v>
      </c>
      <c r="F125" s="9" t="s">
        <v>3110</v>
      </c>
      <c r="G125" s="9" t="s">
        <v>351</v>
      </c>
      <c r="H125" s="21" t="s">
        <v>771</v>
      </c>
    </row>
    <row r="126" ht="15.75" customHeight="1">
      <c r="A126" s="9" t="s">
        <v>3097</v>
      </c>
      <c r="B126" s="9" t="s">
        <v>2837</v>
      </c>
      <c r="C126" s="9" t="s">
        <v>3111</v>
      </c>
      <c r="D126" s="9" t="s">
        <v>2883</v>
      </c>
      <c r="E126" s="9" t="s">
        <v>317</v>
      </c>
      <c r="F126" s="9" t="s">
        <v>3112</v>
      </c>
      <c r="G126" s="9" t="s">
        <v>3113</v>
      </c>
      <c r="H126" s="21" t="s">
        <v>3114</v>
      </c>
    </row>
    <row r="127" ht="15.75" customHeight="1">
      <c r="A127" s="9" t="s">
        <v>3097</v>
      </c>
      <c r="B127" s="9" t="s">
        <v>2876</v>
      </c>
      <c r="C127" s="9" t="s">
        <v>3115</v>
      </c>
      <c r="D127" s="9" t="s">
        <v>2886</v>
      </c>
      <c r="E127" s="9" t="s">
        <v>317</v>
      </c>
      <c r="F127" s="9" t="s">
        <v>3116</v>
      </c>
      <c r="G127" s="9" t="s">
        <v>3117</v>
      </c>
      <c r="H127" s="21" t="s">
        <v>808</v>
      </c>
    </row>
    <row r="128" ht="15.75" customHeight="1">
      <c r="A128" s="9" t="s">
        <v>3097</v>
      </c>
      <c r="B128" s="9" t="s">
        <v>2886</v>
      </c>
      <c r="C128" s="9" t="s">
        <v>3118</v>
      </c>
      <c r="D128" s="9" t="s">
        <v>3119</v>
      </c>
      <c r="E128" s="9" t="s">
        <v>258</v>
      </c>
      <c r="F128" s="9" t="s">
        <v>351</v>
      </c>
      <c r="G128" s="9" t="s">
        <v>3120</v>
      </c>
      <c r="H128" s="21" t="s">
        <v>808</v>
      </c>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74:$H$128"/>
  <mergeCells count="67">
    <mergeCell ref="D54:G54"/>
    <mergeCell ref="D55:G55"/>
    <mergeCell ref="D56:G56"/>
    <mergeCell ref="D57:G57"/>
    <mergeCell ref="D58:G58"/>
    <mergeCell ref="D59:G59"/>
    <mergeCell ref="D60:G60"/>
    <mergeCell ref="D68:G68"/>
    <mergeCell ref="D69:G69"/>
    <mergeCell ref="D70:G70"/>
    <mergeCell ref="D71:G71"/>
    <mergeCell ref="D61:G61"/>
    <mergeCell ref="D62:G62"/>
    <mergeCell ref="D63:G63"/>
    <mergeCell ref="D64:G64"/>
    <mergeCell ref="D65:G65"/>
    <mergeCell ref="D66:G66"/>
    <mergeCell ref="D67:G67"/>
    <mergeCell ref="D5:G5"/>
    <mergeCell ref="D6:G6"/>
    <mergeCell ref="D7:G7"/>
    <mergeCell ref="D8:G8"/>
    <mergeCell ref="D9:G9"/>
    <mergeCell ref="D10:G10"/>
    <mergeCell ref="D11:G11"/>
    <mergeCell ref="D12:G12"/>
    <mergeCell ref="D13:G13"/>
    <mergeCell ref="D14:G14"/>
    <mergeCell ref="D15:G15"/>
    <mergeCell ref="D16:G16"/>
    <mergeCell ref="D17:G17"/>
    <mergeCell ref="D18:G18"/>
    <mergeCell ref="D19:G19"/>
    <mergeCell ref="D20:G20"/>
    <mergeCell ref="D21:G21"/>
    <mergeCell ref="D22:G22"/>
    <mergeCell ref="D23:G23"/>
    <mergeCell ref="D24:G24"/>
    <mergeCell ref="D25:G25"/>
    <mergeCell ref="D26:G26"/>
    <mergeCell ref="D27:G27"/>
    <mergeCell ref="D28:G28"/>
    <mergeCell ref="D29:G29"/>
    <mergeCell ref="D30:G30"/>
    <mergeCell ref="D31:G31"/>
    <mergeCell ref="D32:G32"/>
    <mergeCell ref="D33:G33"/>
    <mergeCell ref="D34:G34"/>
    <mergeCell ref="D35:G35"/>
    <mergeCell ref="D36:G36"/>
    <mergeCell ref="D37:G37"/>
    <mergeCell ref="D38:G38"/>
    <mergeCell ref="D39:G39"/>
    <mergeCell ref="D40:G40"/>
    <mergeCell ref="D41:G41"/>
    <mergeCell ref="D42:G42"/>
    <mergeCell ref="D43:G43"/>
    <mergeCell ref="D44:G44"/>
    <mergeCell ref="D45:G45"/>
    <mergeCell ref="D46:G46"/>
    <mergeCell ref="D47:G47"/>
    <mergeCell ref="D48:G48"/>
    <mergeCell ref="D49:G49"/>
    <mergeCell ref="D50:G50"/>
    <mergeCell ref="D51:G51"/>
    <mergeCell ref="D52:G52"/>
    <mergeCell ref="D53:G53"/>
  </mergeCell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0"/>
    <col customWidth="1" min="2" max="2" width="28.0"/>
    <col customWidth="1" min="3" max="3" width="12.0"/>
    <col customWidth="1" min="4" max="4" width="8.0"/>
    <col customWidth="1" min="5" max="5" width="30.0"/>
    <col customWidth="1" min="6" max="6" width="74.71"/>
    <col customWidth="1" min="7" max="7" width="26.0"/>
    <col customWidth="1" min="8" max="8" width="14.0"/>
    <col customWidth="1" min="9" max="9" width="44.0"/>
    <col customWidth="1" min="10" max="26" width="8.71"/>
  </cols>
  <sheetData>
    <row r="1" ht="25.5" customHeight="1">
      <c r="A1" s="1" t="s">
        <v>3121</v>
      </c>
    </row>
    <row r="2">
      <c r="A2" s="2" t="s">
        <v>3122</v>
      </c>
    </row>
    <row r="4" ht="33.75" customHeight="1">
      <c r="A4" s="8" t="s">
        <v>111</v>
      </c>
      <c r="B4" s="8" t="s">
        <v>3123</v>
      </c>
      <c r="C4" s="8" t="s">
        <v>3124</v>
      </c>
      <c r="D4" s="8" t="s">
        <v>449</v>
      </c>
      <c r="E4" s="8" t="s">
        <v>177</v>
      </c>
      <c r="F4" s="8" t="s">
        <v>3125</v>
      </c>
      <c r="G4" s="8" t="s">
        <v>3126</v>
      </c>
      <c r="H4" s="8" t="s">
        <v>453</v>
      </c>
      <c r="I4" s="8" t="s">
        <v>3127</v>
      </c>
    </row>
    <row r="5">
      <c r="A5" s="25" t="s">
        <v>3128</v>
      </c>
      <c r="B5" s="9" t="s">
        <v>3129</v>
      </c>
      <c r="C5" s="28" t="s">
        <v>3130</v>
      </c>
      <c r="D5" s="21" t="s">
        <v>115</v>
      </c>
      <c r="E5" s="9" t="s">
        <v>3131</v>
      </c>
      <c r="F5" s="9" t="s">
        <v>3132</v>
      </c>
      <c r="G5" s="9" t="s">
        <v>3133</v>
      </c>
      <c r="H5" s="9" t="s">
        <v>3134</v>
      </c>
      <c r="I5" s="9" t="s">
        <v>3135</v>
      </c>
    </row>
    <row r="6">
      <c r="A6" s="25" t="s">
        <v>3136</v>
      </c>
      <c r="B6" s="9" t="s">
        <v>3137</v>
      </c>
      <c r="C6" s="28" t="s">
        <v>3130</v>
      </c>
      <c r="D6" s="21" t="s">
        <v>115</v>
      </c>
      <c r="E6" s="9" t="s">
        <v>3138</v>
      </c>
      <c r="F6" s="9" t="s">
        <v>3139</v>
      </c>
      <c r="G6" s="9" t="s">
        <v>3140</v>
      </c>
      <c r="H6" s="9" t="s">
        <v>3141</v>
      </c>
      <c r="I6" s="9" t="s">
        <v>3142</v>
      </c>
    </row>
    <row r="7">
      <c r="A7" s="25" t="s">
        <v>3143</v>
      </c>
      <c r="B7" s="9" t="s">
        <v>3144</v>
      </c>
      <c r="C7" s="28" t="s">
        <v>3130</v>
      </c>
      <c r="D7" s="21" t="s">
        <v>117</v>
      </c>
      <c r="E7" s="9" t="s">
        <v>3145</v>
      </c>
      <c r="F7" s="9" t="s">
        <v>3146</v>
      </c>
      <c r="G7" s="9" t="s">
        <v>3147</v>
      </c>
      <c r="H7" s="9" t="s">
        <v>360</v>
      </c>
      <c r="I7" s="9" t="s">
        <v>3148</v>
      </c>
    </row>
    <row r="8">
      <c r="A8" s="25" t="s">
        <v>3149</v>
      </c>
      <c r="B8" s="9" t="s">
        <v>3150</v>
      </c>
      <c r="C8" s="28" t="s">
        <v>3130</v>
      </c>
      <c r="D8" s="21" t="s">
        <v>117</v>
      </c>
      <c r="E8" s="9" t="s">
        <v>3151</v>
      </c>
      <c r="F8" s="9" t="s">
        <v>3152</v>
      </c>
      <c r="G8" s="9" t="s">
        <v>3153</v>
      </c>
      <c r="H8" s="9" t="s">
        <v>1671</v>
      </c>
      <c r="I8" s="9" t="s">
        <v>3154</v>
      </c>
    </row>
    <row r="9">
      <c r="A9" s="25" t="s">
        <v>3155</v>
      </c>
      <c r="B9" s="9" t="s">
        <v>3156</v>
      </c>
      <c r="C9" s="28" t="s">
        <v>3130</v>
      </c>
      <c r="D9" s="21" t="s">
        <v>117</v>
      </c>
      <c r="E9" s="9" t="s">
        <v>505</v>
      </c>
      <c r="F9" s="9" t="s">
        <v>3157</v>
      </c>
      <c r="G9" s="9" t="s">
        <v>3153</v>
      </c>
      <c r="H9" s="9" t="s">
        <v>507</v>
      </c>
      <c r="I9" s="9" t="s">
        <v>3158</v>
      </c>
    </row>
    <row r="10">
      <c r="A10" s="25" t="s">
        <v>3159</v>
      </c>
      <c r="B10" s="9" t="s">
        <v>3160</v>
      </c>
      <c r="C10" s="28" t="s">
        <v>3130</v>
      </c>
      <c r="D10" s="21" t="s">
        <v>115</v>
      </c>
      <c r="E10" s="9" t="s">
        <v>3161</v>
      </c>
      <c r="F10" s="9" t="s">
        <v>3162</v>
      </c>
      <c r="G10" s="9" t="s">
        <v>3153</v>
      </c>
      <c r="H10" s="9" t="s">
        <v>1230</v>
      </c>
      <c r="I10" s="9" t="s">
        <v>3163</v>
      </c>
    </row>
    <row r="11">
      <c r="A11" s="25" t="s">
        <v>3164</v>
      </c>
      <c r="B11" s="9" t="s">
        <v>3165</v>
      </c>
      <c r="C11" s="28" t="s">
        <v>3130</v>
      </c>
      <c r="D11" s="21" t="s">
        <v>115</v>
      </c>
      <c r="E11" s="9" t="s">
        <v>3166</v>
      </c>
      <c r="F11" s="9" t="s">
        <v>3167</v>
      </c>
      <c r="G11" s="9" t="s">
        <v>351</v>
      </c>
      <c r="H11" s="9" t="s">
        <v>1219</v>
      </c>
      <c r="I11" s="9" t="s">
        <v>3168</v>
      </c>
    </row>
    <row r="12">
      <c r="A12" s="25" t="s">
        <v>3169</v>
      </c>
      <c r="B12" s="9" t="s">
        <v>3170</v>
      </c>
      <c r="C12" s="28" t="s">
        <v>3130</v>
      </c>
      <c r="D12" s="21" t="s">
        <v>117</v>
      </c>
      <c r="E12" s="9" t="s">
        <v>3171</v>
      </c>
      <c r="F12" s="9" t="s">
        <v>3172</v>
      </c>
      <c r="G12" s="9" t="s">
        <v>3173</v>
      </c>
      <c r="H12" s="9" t="s">
        <v>1260</v>
      </c>
      <c r="I12" s="9" t="s">
        <v>3174</v>
      </c>
    </row>
    <row r="13">
      <c r="A13" s="25" t="s">
        <v>3175</v>
      </c>
      <c r="B13" s="9" t="s">
        <v>3176</v>
      </c>
      <c r="C13" s="28" t="s">
        <v>3130</v>
      </c>
      <c r="D13" s="21" t="s">
        <v>117</v>
      </c>
      <c r="E13" s="9" t="s">
        <v>3177</v>
      </c>
      <c r="F13" s="9" t="s">
        <v>3178</v>
      </c>
      <c r="G13" s="9" t="s">
        <v>3179</v>
      </c>
      <c r="H13" s="9" t="s">
        <v>1260</v>
      </c>
      <c r="I13" s="9" t="s">
        <v>3180</v>
      </c>
    </row>
    <row r="14">
      <c r="A14" s="25" t="s">
        <v>3181</v>
      </c>
      <c r="B14" s="9" t="s">
        <v>3182</v>
      </c>
      <c r="C14" s="28" t="s">
        <v>3130</v>
      </c>
      <c r="D14" s="21" t="s">
        <v>117</v>
      </c>
      <c r="E14" s="9" t="s">
        <v>3183</v>
      </c>
      <c r="F14" s="9" t="s">
        <v>3184</v>
      </c>
      <c r="G14" s="9" t="s">
        <v>3147</v>
      </c>
      <c r="H14" s="9" t="s">
        <v>3185</v>
      </c>
      <c r="I14" s="9" t="s">
        <v>3186</v>
      </c>
    </row>
    <row r="15">
      <c r="A15" s="25" t="s">
        <v>3187</v>
      </c>
      <c r="B15" s="9" t="s">
        <v>3188</v>
      </c>
      <c r="C15" s="28" t="s">
        <v>3130</v>
      </c>
      <c r="D15" s="21" t="s">
        <v>131</v>
      </c>
      <c r="E15" s="9" t="s">
        <v>3189</v>
      </c>
      <c r="F15" s="9" t="s">
        <v>3190</v>
      </c>
      <c r="G15" s="9" t="s">
        <v>3153</v>
      </c>
      <c r="H15" s="9" t="s">
        <v>401</v>
      </c>
      <c r="I15" s="9" t="s">
        <v>3191</v>
      </c>
    </row>
    <row r="16">
      <c r="A16" s="25" t="s">
        <v>3192</v>
      </c>
      <c r="B16" s="9" t="s">
        <v>3193</v>
      </c>
      <c r="C16" s="28" t="s">
        <v>3130</v>
      </c>
      <c r="D16" s="21" t="s">
        <v>143</v>
      </c>
      <c r="E16" s="9" t="s">
        <v>3194</v>
      </c>
      <c r="F16" s="9" t="s">
        <v>3195</v>
      </c>
      <c r="G16" s="9" t="s">
        <v>3196</v>
      </c>
      <c r="H16" s="9" t="s">
        <v>3197</v>
      </c>
      <c r="I16" s="9" t="s">
        <v>3198</v>
      </c>
    </row>
    <row r="17">
      <c r="A17" s="25" t="s">
        <v>3199</v>
      </c>
      <c r="B17" s="9" t="s">
        <v>3200</v>
      </c>
      <c r="C17" s="28" t="s">
        <v>3130</v>
      </c>
      <c r="D17" s="21" t="s">
        <v>141</v>
      </c>
      <c r="E17" s="9" t="s">
        <v>3201</v>
      </c>
      <c r="F17" s="9" t="s">
        <v>3202</v>
      </c>
      <c r="G17" s="9" t="s">
        <v>351</v>
      </c>
      <c r="H17" s="9" t="s">
        <v>3203</v>
      </c>
      <c r="I17" s="9" t="s">
        <v>3204</v>
      </c>
    </row>
    <row r="18">
      <c r="A18" s="25" t="s">
        <v>3205</v>
      </c>
      <c r="B18" s="9" t="s">
        <v>3206</v>
      </c>
      <c r="C18" s="28" t="s">
        <v>3130</v>
      </c>
      <c r="D18" s="21" t="s">
        <v>119</v>
      </c>
      <c r="E18" s="9" t="s">
        <v>120</v>
      </c>
      <c r="F18" s="9" t="s">
        <v>3207</v>
      </c>
      <c r="G18" s="9" t="s">
        <v>3208</v>
      </c>
      <c r="H18" s="9" t="s">
        <v>3209</v>
      </c>
      <c r="I18" s="9" t="s">
        <v>3210</v>
      </c>
    </row>
    <row r="19">
      <c r="A19" s="25" t="s">
        <v>3211</v>
      </c>
      <c r="B19" s="9" t="s">
        <v>3212</v>
      </c>
      <c r="C19" s="28" t="s">
        <v>3130</v>
      </c>
      <c r="D19" s="21" t="s">
        <v>119</v>
      </c>
      <c r="E19" s="9" t="s">
        <v>3213</v>
      </c>
      <c r="F19" s="9" t="s">
        <v>3214</v>
      </c>
      <c r="G19" s="9" t="s">
        <v>3215</v>
      </c>
      <c r="H19" s="9" t="s">
        <v>3216</v>
      </c>
      <c r="I19" s="9" t="s">
        <v>3217</v>
      </c>
    </row>
    <row r="20">
      <c r="A20" s="25" t="s">
        <v>3218</v>
      </c>
      <c r="B20" s="9" t="s">
        <v>3219</v>
      </c>
      <c r="C20" s="28" t="s">
        <v>3130</v>
      </c>
      <c r="D20" s="21" t="s">
        <v>127</v>
      </c>
      <c r="E20" s="9" t="s">
        <v>3220</v>
      </c>
      <c r="F20" s="9" t="s">
        <v>3221</v>
      </c>
      <c r="G20" s="9" t="s">
        <v>3215</v>
      </c>
      <c r="H20" s="9" t="s">
        <v>373</v>
      </c>
      <c r="I20" s="9" t="s">
        <v>3222</v>
      </c>
    </row>
    <row r="21" ht="15.75" customHeight="1">
      <c r="A21" s="25" t="s">
        <v>3223</v>
      </c>
      <c r="B21" s="9" t="s">
        <v>3224</v>
      </c>
      <c r="C21" s="28" t="s">
        <v>3130</v>
      </c>
      <c r="D21" s="21" t="s">
        <v>121</v>
      </c>
      <c r="E21" s="9" t="s">
        <v>2836</v>
      </c>
      <c r="F21" s="9" t="s">
        <v>3225</v>
      </c>
      <c r="G21" s="9" t="s">
        <v>3215</v>
      </c>
      <c r="H21" s="9" t="s">
        <v>198</v>
      </c>
      <c r="I21" s="9" t="s">
        <v>3226</v>
      </c>
    </row>
    <row r="22" ht="15.75" customHeight="1">
      <c r="A22" s="25" t="s">
        <v>3227</v>
      </c>
      <c r="B22" s="9" t="s">
        <v>3228</v>
      </c>
      <c r="C22" s="28" t="s">
        <v>3130</v>
      </c>
      <c r="D22" s="21" t="s">
        <v>121</v>
      </c>
      <c r="E22" s="9" t="s">
        <v>3229</v>
      </c>
      <c r="F22" s="9" t="s">
        <v>3230</v>
      </c>
      <c r="G22" s="9" t="s">
        <v>3215</v>
      </c>
      <c r="H22" s="9" t="s">
        <v>615</v>
      </c>
      <c r="I22" s="9" t="s">
        <v>3231</v>
      </c>
    </row>
    <row r="23" ht="15.75" customHeight="1">
      <c r="A23" s="25" t="s">
        <v>3232</v>
      </c>
      <c r="B23" s="9" t="s">
        <v>3233</v>
      </c>
      <c r="C23" s="28" t="s">
        <v>3130</v>
      </c>
      <c r="D23" s="21" t="s">
        <v>121</v>
      </c>
      <c r="E23" s="9" t="s">
        <v>3234</v>
      </c>
      <c r="F23" s="9" t="s">
        <v>3235</v>
      </c>
      <c r="G23" s="9" t="s">
        <v>3140</v>
      </c>
      <c r="H23" s="9" t="s">
        <v>615</v>
      </c>
      <c r="I23" s="9" t="s">
        <v>3231</v>
      </c>
    </row>
    <row r="24" ht="15.75" customHeight="1">
      <c r="A24" s="25" t="s">
        <v>3236</v>
      </c>
      <c r="B24" s="9" t="s">
        <v>3237</v>
      </c>
      <c r="C24" s="28" t="s">
        <v>3130</v>
      </c>
      <c r="D24" s="21" t="s">
        <v>123</v>
      </c>
      <c r="E24" s="9" t="s">
        <v>124</v>
      </c>
      <c r="F24" s="9" t="s">
        <v>3238</v>
      </c>
      <c r="G24" s="9" t="s">
        <v>3153</v>
      </c>
      <c r="H24" s="9" t="s">
        <v>383</v>
      </c>
      <c r="I24" s="9" t="s">
        <v>3239</v>
      </c>
    </row>
    <row r="25" ht="15.75" customHeight="1">
      <c r="A25" s="25" t="s">
        <v>3240</v>
      </c>
      <c r="B25" s="9" t="s">
        <v>3241</v>
      </c>
      <c r="C25" s="28" t="s">
        <v>3130</v>
      </c>
      <c r="D25" s="21" t="s">
        <v>121</v>
      </c>
      <c r="E25" s="9" t="s">
        <v>3242</v>
      </c>
      <c r="F25" s="9" t="s">
        <v>3243</v>
      </c>
      <c r="G25" s="9" t="s">
        <v>3244</v>
      </c>
      <c r="H25" s="9" t="s">
        <v>381</v>
      </c>
      <c r="I25" s="9" t="s">
        <v>3245</v>
      </c>
    </row>
    <row r="26" ht="15.75" customHeight="1">
      <c r="A26" s="25" t="s">
        <v>3246</v>
      </c>
      <c r="B26" s="9" t="s">
        <v>3247</v>
      </c>
      <c r="C26" s="28" t="s">
        <v>3130</v>
      </c>
      <c r="D26" s="21" t="s">
        <v>129</v>
      </c>
      <c r="E26" s="9" t="s">
        <v>3248</v>
      </c>
      <c r="F26" s="9" t="s">
        <v>3249</v>
      </c>
      <c r="G26" s="9" t="s">
        <v>3215</v>
      </c>
      <c r="H26" s="9" t="s">
        <v>202</v>
      </c>
      <c r="I26" s="9" t="s">
        <v>3231</v>
      </c>
    </row>
    <row r="27" ht="15.75" customHeight="1">
      <c r="A27" s="25" t="s">
        <v>3250</v>
      </c>
      <c r="B27" s="9" t="s">
        <v>3251</v>
      </c>
      <c r="C27" s="28" t="s">
        <v>3130</v>
      </c>
      <c r="D27" s="21" t="s">
        <v>127</v>
      </c>
      <c r="E27" s="9" t="s">
        <v>3252</v>
      </c>
      <c r="F27" s="9" t="s">
        <v>3253</v>
      </c>
      <c r="G27" s="9" t="s">
        <v>3215</v>
      </c>
      <c r="H27" s="9" t="s">
        <v>3254</v>
      </c>
      <c r="I27" s="9" t="s">
        <v>3255</v>
      </c>
    </row>
    <row r="28" ht="15.75" customHeight="1">
      <c r="A28" s="25" t="s">
        <v>3256</v>
      </c>
      <c r="B28" s="9" t="s">
        <v>3257</v>
      </c>
      <c r="C28" s="28" t="s">
        <v>3130</v>
      </c>
      <c r="D28" s="21" t="s">
        <v>131</v>
      </c>
      <c r="E28" s="9" t="s">
        <v>3258</v>
      </c>
      <c r="F28" s="9" t="s">
        <v>3259</v>
      </c>
      <c r="G28" s="9" t="s">
        <v>3147</v>
      </c>
      <c r="H28" s="9" t="s">
        <v>776</v>
      </c>
      <c r="I28" s="9" t="s">
        <v>3260</v>
      </c>
    </row>
    <row r="29" ht="15.75" customHeight="1">
      <c r="A29" s="25" t="s">
        <v>3261</v>
      </c>
      <c r="B29" s="9" t="s">
        <v>3262</v>
      </c>
      <c r="C29" s="28" t="s">
        <v>3130</v>
      </c>
      <c r="D29" s="21" t="s">
        <v>131</v>
      </c>
      <c r="E29" s="9" t="s">
        <v>3263</v>
      </c>
      <c r="F29" s="9" t="s">
        <v>3264</v>
      </c>
      <c r="G29" s="9" t="s">
        <v>3265</v>
      </c>
      <c r="H29" s="9" t="s">
        <v>3266</v>
      </c>
      <c r="I29" s="9" t="s">
        <v>3267</v>
      </c>
    </row>
    <row r="30" ht="15.75" customHeight="1">
      <c r="A30" s="25" t="s">
        <v>3268</v>
      </c>
      <c r="B30" s="9" t="s">
        <v>3269</v>
      </c>
      <c r="C30" s="28" t="s">
        <v>3130</v>
      </c>
      <c r="D30" s="21" t="s">
        <v>131</v>
      </c>
      <c r="E30" s="9" t="s">
        <v>3270</v>
      </c>
      <c r="F30" s="9" t="s">
        <v>3271</v>
      </c>
      <c r="G30" s="9" t="s">
        <v>3265</v>
      </c>
      <c r="H30" s="9" t="s">
        <v>3272</v>
      </c>
      <c r="I30" s="9" t="s">
        <v>3273</v>
      </c>
    </row>
    <row r="31" ht="15.75" customHeight="1">
      <c r="A31" s="25" t="s">
        <v>3274</v>
      </c>
      <c r="B31" s="9" t="s">
        <v>3275</v>
      </c>
      <c r="C31" s="28" t="s">
        <v>3130</v>
      </c>
      <c r="D31" s="21" t="s">
        <v>131</v>
      </c>
      <c r="E31" s="9" t="s">
        <v>3276</v>
      </c>
      <c r="F31" s="9" t="s">
        <v>3277</v>
      </c>
      <c r="G31" s="9" t="s">
        <v>3278</v>
      </c>
      <c r="H31" s="9" t="s">
        <v>3272</v>
      </c>
      <c r="I31" s="9" t="s">
        <v>3279</v>
      </c>
    </row>
    <row r="32" ht="15.75" customHeight="1">
      <c r="A32" s="25" t="s">
        <v>3280</v>
      </c>
      <c r="B32" s="9" t="s">
        <v>3281</v>
      </c>
      <c r="C32" s="28" t="s">
        <v>3130</v>
      </c>
      <c r="D32" s="21" t="s">
        <v>131</v>
      </c>
      <c r="E32" s="9" t="s">
        <v>3282</v>
      </c>
      <c r="F32" s="9" t="s">
        <v>3283</v>
      </c>
      <c r="G32" s="9" t="s">
        <v>3284</v>
      </c>
      <c r="H32" s="9" t="s">
        <v>3266</v>
      </c>
      <c r="I32" s="9" t="s">
        <v>3285</v>
      </c>
    </row>
    <row r="33" ht="15.75" customHeight="1">
      <c r="A33" s="25" t="s">
        <v>3286</v>
      </c>
      <c r="B33" s="9" t="s">
        <v>3287</v>
      </c>
      <c r="C33" s="28" t="s">
        <v>3130</v>
      </c>
      <c r="D33" s="21" t="s">
        <v>131</v>
      </c>
      <c r="E33" s="9" t="s">
        <v>2870</v>
      </c>
      <c r="F33" s="9" t="s">
        <v>3288</v>
      </c>
      <c r="G33" s="9" t="s">
        <v>3153</v>
      </c>
      <c r="H33" s="9" t="s">
        <v>1645</v>
      </c>
      <c r="I33" s="9" t="s">
        <v>3289</v>
      </c>
    </row>
    <row r="34" ht="15.75" customHeight="1">
      <c r="A34" s="25" t="s">
        <v>3290</v>
      </c>
      <c r="B34" s="9" t="s">
        <v>3291</v>
      </c>
      <c r="C34" s="28" t="s">
        <v>3130</v>
      </c>
      <c r="D34" s="21" t="s">
        <v>131</v>
      </c>
      <c r="E34" s="9" t="s">
        <v>3292</v>
      </c>
      <c r="F34" s="9" t="s">
        <v>3293</v>
      </c>
      <c r="G34" s="9" t="s">
        <v>3294</v>
      </c>
      <c r="H34" s="9" t="s">
        <v>808</v>
      </c>
      <c r="I34" s="9" t="s">
        <v>351</v>
      </c>
    </row>
    <row r="35" ht="15.75" customHeight="1">
      <c r="A35" s="25" t="s">
        <v>3295</v>
      </c>
      <c r="B35" s="9" t="s">
        <v>3296</v>
      </c>
      <c r="C35" s="28" t="s">
        <v>3130</v>
      </c>
      <c r="D35" s="21" t="s">
        <v>131</v>
      </c>
      <c r="E35" s="9" t="s">
        <v>820</v>
      </c>
      <c r="F35" s="9" t="s">
        <v>3297</v>
      </c>
      <c r="G35" s="9" t="s">
        <v>3153</v>
      </c>
      <c r="H35" s="9" t="s">
        <v>1500</v>
      </c>
      <c r="I35" s="9" t="s">
        <v>3298</v>
      </c>
    </row>
    <row r="36" ht="15.75" customHeight="1">
      <c r="A36" s="25" t="s">
        <v>3299</v>
      </c>
      <c r="B36" s="9" t="s">
        <v>3300</v>
      </c>
      <c r="C36" s="28" t="s">
        <v>3130</v>
      </c>
      <c r="D36" s="21" t="s">
        <v>131</v>
      </c>
      <c r="E36" s="9" t="s">
        <v>3301</v>
      </c>
      <c r="F36" s="9" t="s">
        <v>3302</v>
      </c>
      <c r="G36" s="9" t="s">
        <v>3303</v>
      </c>
      <c r="H36" s="9" t="s">
        <v>839</v>
      </c>
      <c r="I36" s="9" t="s">
        <v>3304</v>
      </c>
    </row>
    <row r="37" ht="15.75" customHeight="1">
      <c r="A37" s="25" t="s">
        <v>3305</v>
      </c>
      <c r="B37" s="9" t="s">
        <v>3306</v>
      </c>
      <c r="C37" s="28" t="s">
        <v>3130</v>
      </c>
      <c r="D37" s="21" t="s">
        <v>131</v>
      </c>
      <c r="E37" s="9" t="s">
        <v>3307</v>
      </c>
      <c r="F37" s="9" t="s">
        <v>3308</v>
      </c>
      <c r="G37" s="9" t="s">
        <v>3309</v>
      </c>
      <c r="H37" s="9" t="s">
        <v>839</v>
      </c>
      <c r="I37" s="9" t="s">
        <v>351</v>
      </c>
    </row>
    <row r="38" ht="15.75" customHeight="1">
      <c r="A38" s="25" t="s">
        <v>3310</v>
      </c>
      <c r="B38" s="9" t="s">
        <v>3311</v>
      </c>
      <c r="C38" s="28" t="s">
        <v>3130</v>
      </c>
      <c r="D38" s="21" t="s">
        <v>143</v>
      </c>
      <c r="E38" s="9" t="s">
        <v>3312</v>
      </c>
      <c r="F38" s="9" t="s">
        <v>3313</v>
      </c>
      <c r="G38" s="9" t="s">
        <v>3314</v>
      </c>
      <c r="H38" s="9" t="s">
        <v>410</v>
      </c>
      <c r="I38" s="9" t="s">
        <v>3315</v>
      </c>
    </row>
    <row r="39" ht="15.75" customHeight="1">
      <c r="A39" s="25" t="s">
        <v>3316</v>
      </c>
      <c r="B39" s="9" t="s">
        <v>3317</v>
      </c>
      <c r="C39" s="28" t="s">
        <v>3130</v>
      </c>
      <c r="D39" s="21" t="s">
        <v>143</v>
      </c>
      <c r="E39" s="9" t="s">
        <v>3318</v>
      </c>
      <c r="F39" s="9" t="s">
        <v>3319</v>
      </c>
      <c r="G39" s="9" t="s">
        <v>3320</v>
      </c>
      <c r="H39" s="9" t="s">
        <v>3321</v>
      </c>
      <c r="I39" s="9" t="s">
        <v>351</v>
      </c>
    </row>
    <row r="40" ht="15.75" customHeight="1">
      <c r="A40" s="25" t="s">
        <v>3322</v>
      </c>
      <c r="B40" s="9" t="s">
        <v>3323</v>
      </c>
      <c r="C40" s="28" t="s">
        <v>3130</v>
      </c>
      <c r="D40" s="21" t="s">
        <v>133</v>
      </c>
      <c r="E40" s="9" t="s">
        <v>3324</v>
      </c>
      <c r="F40" s="9" t="s">
        <v>3325</v>
      </c>
      <c r="G40" s="9" t="s">
        <v>3326</v>
      </c>
      <c r="H40" s="9" t="s">
        <v>1541</v>
      </c>
      <c r="I40" s="9" t="s">
        <v>3231</v>
      </c>
    </row>
    <row r="41" ht="15.75" customHeight="1">
      <c r="A41" s="25" t="s">
        <v>3327</v>
      </c>
      <c r="B41" s="9" t="s">
        <v>3328</v>
      </c>
      <c r="C41" s="28" t="s">
        <v>3130</v>
      </c>
      <c r="D41" s="21" t="s">
        <v>135</v>
      </c>
      <c r="E41" s="9" t="s">
        <v>3329</v>
      </c>
      <c r="F41" s="9" t="s">
        <v>3330</v>
      </c>
      <c r="G41" s="9" t="s">
        <v>3215</v>
      </c>
      <c r="H41" s="9" t="s">
        <v>1551</v>
      </c>
      <c r="I41" s="9" t="s">
        <v>3331</v>
      </c>
    </row>
    <row r="42" ht="15.75" customHeight="1">
      <c r="A42" s="25" t="s">
        <v>3332</v>
      </c>
      <c r="B42" s="9" t="s">
        <v>3333</v>
      </c>
      <c r="C42" s="28" t="s">
        <v>3130</v>
      </c>
      <c r="D42" s="21" t="s">
        <v>135</v>
      </c>
      <c r="E42" s="9" t="s">
        <v>3334</v>
      </c>
      <c r="F42" s="9" t="s">
        <v>3335</v>
      </c>
      <c r="G42" s="9" t="s">
        <v>3336</v>
      </c>
      <c r="H42" s="9" t="s">
        <v>883</v>
      </c>
      <c r="I42" s="9" t="s">
        <v>3337</v>
      </c>
    </row>
    <row r="43" ht="15.75" customHeight="1">
      <c r="A43" s="25" t="s">
        <v>3338</v>
      </c>
      <c r="B43" s="9" t="s">
        <v>3339</v>
      </c>
      <c r="C43" s="28" t="s">
        <v>3130</v>
      </c>
      <c r="D43" s="21" t="s">
        <v>137</v>
      </c>
      <c r="E43" s="9" t="s">
        <v>2938</v>
      </c>
      <c r="F43" s="9" t="s">
        <v>3340</v>
      </c>
      <c r="G43" s="9" t="s">
        <v>3215</v>
      </c>
      <c r="H43" s="9" t="s">
        <v>1742</v>
      </c>
      <c r="I43" s="9" t="s">
        <v>351</v>
      </c>
    </row>
    <row r="44" ht="15.75" customHeight="1">
      <c r="A44" s="25" t="s">
        <v>3341</v>
      </c>
      <c r="B44" s="9" t="s">
        <v>3342</v>
      </c>
      <c r="C44" s="28" t="s">
        <v>3130</v>
      </c>
      <c r="D44" s="21" t="s">
        <v>137</v>
      </c>
      <c r="E44" s="9" t="s">
        <v>3343</v>
      </c>
      <c r="F44" s="9" t="s">
        <v>3344</v>
      </c>
      <c r="G44" s="9" t="s">
        <v>3345</v>
      </c>
      <c r="H44" s="9" t="s">
        <v>1742</v>
      </c>
      <c r="I44" s="9" t="s">
        <v>351</v>
      </c>
    </row>
    <row r="45" ht="15.75" customHeight="1">
      <c r="A45" s="25" t="s">
        <v>3346</v>
      </c>
      <c r="B45" s="9" t="s">
        <v>3347</v>
      </c>
      <c r="C45" s="28" t="s">
        <v>3130</v>
      </c>
      <c r="D45" s="21" t="s">
        <v>137</v>
      </c>
      <c r="E45" s="9" t="s">
        <v>3348</v>
      </c>
      <c r="F45" s="9" t="s">
        <v>3349</v>
      </c>
      <c r="G45" s="9" t="s">
        <v>3345</v>
      </c>
      <c r="H45" s="9" t="s">
        <v>420</v>
      </c>
      <c r="I45" s="9" t="s">
        <v>351</v>
      </c>
    </row>
    <row r="46" ht="15.75" customHeight="1">
      <c r="A46" s="25" t="s">
        <v>3350</v>
      </c>
      <c r="B46" s="9" t="s">
        <v>3351</v>
      </c>
      <c r="C46" s="28" t="s">
        <v>3130</v>
      </c>
      <c r="D46" s="21" t="s">
        <v>141</v>
      </c>
      <c r="E46" s="9" t="s">
        <v>426</v>
      </c>
      <c r="F46" s="9" t="s">
        <v>3352</v>
      </c>
      <c r="G46" s="9" t="s">
        <v>351</v>
      </c>
      <c r="H46" s="9" t="s">
        <v>427</v>
      </c>
      <c r="I46" s="9" t="s">
        <v>351</v>
      </c>
    </row>
    <row r="47" ht="15.75" customHeight="1">
      <c r="A47" s="25" t="s">
        <v>3353</v>
      </c>
      <c r="B47" s="9" t="s">
        <v>3354</v>
      </c>
      <c r="C47" s="28" t="s">
        <v>3130</v>
      </c>
      <c r="D47" s="21" t="s">
        <v>141</v>
      </c>
      <c r="E47" s="9" t="s">
        <v>1603</v>
      </c>
      <c r="F47" s="9" t="s">
        <v>3355</v>
      </c>
      <c r="G47" s="9" t="s">
        <v>351</v>
      </c>
      <c r="H47" s="9" t="s">
        <v>1605</v>
      </c>
      <c r="I47" s="9" t="s">
        <v>3356</v>
      </c>
    </row>
    <row r="48" ht="15.75" customHeight="1">
      <c r="A48" s="25" t="s">
        <v>3357</v>
      </c>
      <c r="B48" s="9" t="s">
        <v>3358</v>
      </c>
      <c r="C48" s="28" t="s">
        <v>3130</v>
      </c>
      <c r="D48" s="21" t="s">
        <v>143</v>
      </c>
      <c r="E48" s="9" t="s">
        <v>3359</v>
      </c>
      <c r="F48" s="9" t="s">
        <v>3360</v>
      </c>
      <c r="G48" s="9" t="s">
        <v>351</v>
      </c>
      <c r="H48" s="9" t="s">
        <v>434</v>
      </c>
      <c r="I48" s="9" t="s">
        <v>351</v>
      </c>
    </row>
    <row r="49" ht="15.75" customHeight="1">
      <c r="A49" s="25" t="s">
        <v>3361</v>
      </c>
      <c r="B49" s="9" t="s">
        <v>3362</v>
      </c>
      <c r="C49" s="28" t="s">
        <v>3130</v>
      </c>
      <c r="D49" s="21" t="s">
        <v>143</v>
      </c>
      <c r="E49" s="9" t="s">
        <v>3363</v>
      </c>
      <c r="F49" s="9" t="s">
        <v>3364</v>
      </c>
      <c r="G49" s="9" t="s">
        <v>351</v>
      </c>
      <c r="H49" s="9" t="s">
        <v>3365</v>
      </c>
      <c r="I49" s="9" t="s">
        <v>3366</v>
      </c>
    </row>
    <row r="50" ht="15.75" customHeight="1">
      <c r="A50" s="25" t="s">
        <v>3367</v>
      </c>
      <c r="B50" s="9" t="s">
        <v>3368</v>
      </c>
      <c r="C50" s="28" t="s">
        <v>3130</v>
      </c>
      <c r="D50" s="21" t="s">
        <v>145</v>
      </c>
      <c r="E50" s="9" t="s">
        <v>3369</v>
      </c>
      <c r="F50" s="9" t="s">
        <v>3370</v>
      </c>
      <c r="G50" s="9" t="s">
        <v>3140</v>
      </c>
      <c r="H50" s="9" t="s">
        <v>442</v>
      </c>
      <c r="I50" s="9" t="s">
        <v>3231</v>
      </c>
    </row>
    <row r="51" ht="15.75" customHeight="1">
      <c r="A51" s="25" t="s">
        <v>3371</v>
      </c>
      <c r="B51" s="9" t="s">
        <v>3372</v>
      </c>
      <c r="C51" s="28" t="s">
        <v>3130</v>
      </c>
      <c r="D51" s="21" t="s">
        <v>143</v>
      </c>
      <c r="E51" s="9" t="s">
        <v>3373</v>
      </c>
      <c r="F51" s="9" t="s">
        <v>3374</v>
      </c>
      <c r="G51" s="9" t="s">
        <v>351</v>
      </c>
      <c r="H51" s="9" t="s">
        <v>444</v>
      </c>
      <c r="I51" s="9" t="s">
        <v>3375</v>
      </c>
    </row>
    <row r="52" ht="15.75" customHeight="1">
      <c r="A52" s="25" t="s">
        <v>3376</v>
      </c>
      <c r="B52" s="9" t="s">
        <v>3377</v>
      </c>
      <c r="C52" s="28" t="s">
        <v>3130</v>
      </c>
      <c r="D52" s="21" t="s">
        <v>147</v>
      </c>
      <c r="E52" s="9" t="s">
        <v>3378</v>
      </c>
      <c r="F52" s="9" t="s">
        <v>3379</v>
      </c>
      <c r="G52" s="9" t="s">
        <v>351</v>
      </c>
      <c r="H52" s="9" t="s">
        <v>3380</v>
      </c>
      <c r="I52" s="9" t="s">
        <v>3381</v>
      </c>
    </row>
    <row r="53" ht="15.75" customHeight="1">
      <c r="A53" s="25" t="s">
        <v>3382</v>
      </c>
      <c r="B53" s="9" t="s">
        <v>3383</v>
      </c>
      <c r="C53" s="28" t="s">
        <v>3130</v>
      </c>
      <c r="D53" s="21" t="s">
        <v>147</v>
      </c>
      <c r="E53" s="9" t="s">
        <v>3384</v>
      </c>
      <c r="F53" s="9" t="s">
        <v>3385</v>
      </c>
      <c r="G53" s="9" t="s">
        <v>351</v>
      </c>
      <c r="H53" s="9" t="s">
        <v>3386</v>
      </c>
      <c r="I53" s="9" t="s">
        <v>3387</v>
      </c>
    </row>
    <row r="54" ht="15.75" customHeight="1">
      <c r="A54" s="25" t="s">
        <v>3388</v>
      </c>
      <c r="B54" s="9" t="s">
        <v>3389</v>
      </c>
      <c r="C54" s="26" t="s">
        <v>3390</v>
      </c>
      <c r="D54" s="21" t="s">
        <v>127</v>
      </c>
      <c r="E54" s="9" t="s">
        <v>3391</v>
      </c>
      <c r="F54" s="9" t="s">
        <v>3392</v>
      </c>
      <c r="G54" s="9" t="s">
        <v>3393</v>
      </c>
      <c r="H54" s="9" t="s">
        <v>3394</v>
      </c>
      <c r="I54" s="9" t="s">
        <v>3395</v>
      </c>
    </row>
    <row r="55" ht="15.75" customHeight="1">
      <c r="A55" s="25" t="s">
        <v>3396</v>
      </c>
      <c r="B55" s="9" t="s">
        <v>3397</v>
      </c>
      <c r="C55" s="26" t="s">
        <v>3390</v>
      </c>
      <c r="D55" s="21" t="s">
        <v>127</v>
      </c>
      <c r="E55" s="9" t="s">
        <v>3398</v>
      </c>
      <c r="F55" s="9" t="s">
        <v>3399</v>
      </c>
      <c r="G55" s="9" t="s">
        <v>3393</v>
      </c>
      <c r="H55" s="9" t="s">
        <v>1049</v>
      </c>
      <c r="I55" s="9" t="s">
        <v>3400</v>
      </c>
    </row>
    <row r="56" ht="15.75" customHeight="1">
      <c r="A56" s="25" t="s">
        <v>3401</v>
      </c>
      <c r="B56" s="9" t="s">
        <v>3402</v>
      </c>
      <c r="C56" s="26" t="s">
        <v>3390</v>
      </c>
      <c r="D56" s="21" t="s">
        <v>125</v>
      </c>
      <c r="E56" s="9" t="s">
        <v>3403</v>
      </c>
      <c r="F56" s="9" t="s">
        <v>3404</v>
      </c>
      <c r="G56" s="9" t="s">
        <v>3393</v>
      </c>
      <c r="H56" s="9" t="s">
        <v>385</v>
      </c>
      <c r="I56" s="9" t="s">
        <v>351</v>
      </c>
    </row>
    <row r="57" ht="15.75" customHeight="1">
      <c r="A57" s="25" t="s">
        <v>3405</v>
      </c>
      <c r="B57" s="9" t="s">
        <v>3406</v>
      </c>
      <c r="C57" s="26" t="s">
        <v>3390</v>
      </c>
      <c r="D57" s="21" t="s">
        <v>125</v>
      </c>
      <c r="E57" s="9" t="s">
        <v>3407</v>
      </c>
      <c r="F57" s="9" t="s">
        <v>3408</v>
      </c>
      <c r="G57" s="9" t="s">
        <v>3409</v>
      </c>
      <c r="H57" s="9" t="s">
        <v>385</v>
      </c>
      <c r="I57" s="9" t="s">
        <v>3410</v>
      </c>
    </row>
    <row r="58" ht="15.75" customHeight="1">
      <c r="A58" s="25" t="s">
        <v>3411</v>
      </c>
      <c r="B58" s="9" t="s">
        <v>3412</v>
      </c>
      <c r="C58" s="26" t="s">
        <v>3390</v>
      </c>
      <c r="D58" s="21" t="s">
        <v>139</v>
      </c>
      <c r="E58" s="9" t="s">
        <v>3413</v>
      </c>
      <c r="F58" s="9" t="s">
        <v>3414</v>
      </c>
      <c r="G58" s="9" t="s">
        <v>3415</v>
      </c>
      <c r="H58" s="9" t="s">
        <v>422</v>
      </c>
      <c r="I58" s="9" t="s">
        <v>3416</v>
      </c>
    </row>
    <row r="59" ht="15.75" customHeight="1">
      <c r="A59" s="25" t="s">
        <v>3417</v>
      </c>
      <c r="B59" s="9" t="s">
        <v>3418</v>
      </c>
      <c r="C59" s="26" t="s">
        <v>3390</v>
      </c>
      <c r="D59" s="21" t="s">
        <v>143</v>
      </c>
      <c r="E59" s="9" t="s">
        <v>3419</v>
      </c>
      <c r="F59" s="9" t="s">
        <v>3420</v>
      </c>
      <c r="G59" s="9" t="s">
        <v>351</v>
      </c>
      <c r="H59" s="9" t="s">
        <v>438</v>
      </c>
      <c r="I59" s="9" t="s">
        <v>3421</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I$59"/>
  <printOptions/>
  <pageMargins bottom="1.0" footer="0.0" header="0.0" left="0.75" right="0.75" top="1.0"/>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8.0"/>
    <col customWidth="1" min="3" max="3" width="11.0"/>
    <col customWidth="1" min="4" max="4" width="48.0"/>
    <col customWidth="1" min="5" max="5" width="56.0"/>
    <col customWidth="1" min="6" max="6" width="18.0"/>
    <col customWidth="1" min="7" max="8" width="9.0"/>
    <col customWidth="1" min="9" max="26" width="8.71"/>
  </cols>
  <sheetData>
    <row r="1" ht="25.5" customHeight="1">
      <c r="A1" s="1" t="s">
        <v>3422</v>
      </c>
    </row>
    <row r="2">
      <c r="A2" s="2" t="s">
        <v>3423</v>
      </c>
    </row>
    <row r="4" ht="33.75" customHeight="1">
      <c r="A4" s="8" t="s">
        <v>111</v>
      </c>
      <c r="B4" s="8" t="s">
        <v>449</v>
      </c>
      <c r="C4" s="8" t="s">
        <v>3424</v>
      </c>
      <c r="D4" s="8" t="s">
        <v>3425</v>
      </c>
      <c r="E4" s="8" t="s">
        <v>177</v>
      </c>
      <c r="F4" s="8" t="s">
        <v>3426</v>
      </c>
      <c r="G4" s="8" t="s">
        <v>178</v>
      </c>
      <c r="H4" s="8" t="s">
        <v>455</v>
      </c>
    </row>
    <row r="5">
      <c r="A5" s="25" t="s">
        <v>3427</v>
      </c>
      <c r="B5" s="21" t="s">
        <v>115</v>
      </c>
      <c r="C5" s="28" t="s">
        <v>3428</v>
      </c>
      <c r="D5" s="74" t="s">
        <v>3429</v>
      </c>
      <c r="E5" s="9" t="s">
        <v>461</v>
      </c>
      <c r="F5" s="9" t="s">
        <v>3430</v>
      </c>
      <c r="G5" s="21" t="s">
        <v>287</v>
      </c>
      <c r="H5" s="21" t="str">
        <f t="array" ref="H5">INDEX('04_UC'!$G:$G,MATCH(G5,'04_UC'!$A:$A,0))</f>
        <v>Pha 1</v>
      </c>
    </row>
    <row r="6">
      <c r="A6" s="25" t="s">
        <v>3431</v>
      </c>
      <c r="B6" s="21" t="s">
        <v>115</v>
      </c>
      <c r="C6" s="28" t="s">
        <v>3428</v>
      </c>
      <c r="D6" s="74" t="s">
        <v>3432</v>
      </c>
      <c r="E6" s="9" t="s">
        <v>469</v>
      </c>
      <c r="F6" s="9" t="s">
        <v>3430</v>
      </c>
      <c r="G6" s="21" t="s">
        <v>471</v>
      </c>
      <c r="H6" s="21" t="str">
        <f t="array" ref="H6">INDEX('04_UC'!$G:$G,MATCH(G6,'04_UC'!$A:$A,0))</f>
        <v>Pha 1</v>
      </c>
    </row>
    <row r="7">
      <c r="A7" s="25" t="s">
        <v>3433</v>
      </c>
      <c r="B7" s="21" t="s">
        <v>115</v>
      </c>
      <c r="C7" s="28" t="s">
        <v>3428</v>
      </c>
      <c r="D7" s="74" t="s">
        <v>3434</v>
      </c>
      <c r="E7" s="9" t="s">
        <v>3435</v>
      </c>
      <c r="F7" s="9" t="s">
        <v>3430</v>
      </c>
      <c r="G7" s="21" t="s">
        <v>471</v>
      </c>
      <c r="H7" s="21" t="str">
        <f t="array" ref="H7">INDEX('04_UC'!$G:$G,MATCH(G7,'04_UC'!$A:$A,0))</f>
        <v>Pha 1</v>
      </c>
    </row>
    <row r="8">
      <c r="A8" s="25" t="s">
        <v>3436</v>
      </c>
      <c r="B8" s="21" t="s">
        <v>115</v>
      </c>
      <c r="C8" s="28" t="s">
        <v>3428</v>
      </c>
      <c r="D8" s="74" t="s">
        <v>3437</v>
      </c>
      <c r="E8" s="9" t="s">
        <v>3438</v>
      </c>
      <c r="F8" s="9" t="s">
        <v>3430</v>
      </c>
      <c r="G8" s="21" t="s">
        <v>476</v>
      </c>
      <c r="H8" s="21" t="str">
        <f t="array" ref="H8">INDEX('04_UC'!$G:$G,MATCH(G8,'04_UC'!$A:$A,0))</f>
        <v>Pha 1</v>
      </c>
    </row>
    <row r="9">
      <c r="A9" s="25" t="s">
        <v>3439</v>
      </c>
      <c r="B9" s="21" t="s">
        <v>115</v>
      </c>
      <c r="C9" s="28" t="s">
        <v>3428</v>
      </c>
      <c r="D9" s="74" t="s">
        <v>3440</v>
      </c>
      <c r="E9" s="9" t="s">
        <v>3441</v>
      </c>
      <c r="F9" s="9" t="s">
        <v>3430</v>
      </c>
      <c r="G9" s="21" t="s">
        <v>476</v>
      </c>
      <c r="H9" s="21" t="str">
        <f t="array" ref="H9">INDEX('04_UC'!$G:$G,MATCH(G9,'04_UC'!$A:$A,0))</f>
        <v>Pha 1</v>
      </c>
    </row>
    <row r="10">
      <c r="A10" s="25" t="s">
        <v>3442</v>
      </c>
      <c r="B10" s="21" t="s">
        <v>115</v>
      </c>
      <c r="C10" s="28" t="s">
        <v>3428</v>
      </c>
      <c r="D10" s="74" t="s">
        <v>3443</v>
      </c>
      <c r="E10" s="9" t="s">
        <v>3444</v>
      </c>
      <c r="F10" s="9" t="s">
        <v>3430</v>
      </c>
      <c r="G10" s="21" t="s">
        <v>476</v>
      </c>
      <c r="H10" s="21" t="str">
        <f t="array" ref="H10">INDEX('04_UC'!$G:$G,MATCH(G10,'04_UC'!$A:$A,0))</f>
        <v>Pha 1</v>
      </c>
    </row>
    <row r="11">
      <c r="A11" s="25" t="s">
        <v>3445</v>
      </c>
      <c r="B11" s="21" t="s">
        <v>115</v>
      </c>
      <c r="C11" s="28" t="s">
        <v>3428</v>
      </c>
      <c r="D11" s="74" t="s">
        <v>3446</v>
      </c>
      <c r="E11" s="9" t="s">
        <v>3447</v>
      </c>
      <c r="F11" s="9" t="s">
        <v>1814</v>
      </c>
      <c r="G11" s="21" t="s">
        <v>488</v>
      </c>
      <c r="H11" s="21" t="str">
        <f t="array" ref="H11">INDEX('04_UC'!$G:$G,MATCH(G11,'04_UC'!$A:$A,0))</f>
        <v>Pha 1</v>
      </c>
    </row>
    <row r="12">
      <c r="A12" s="25" t="s">
        <v>3448</v>
      </c>
      <c r="B12" s="21" t="s">
        <v>115</v>
      </c>
      <c r="C12" s="26" t="s">
        <v>3449</v>
      </c>
      <c r="D12" s="74" t="s">
        <v>3450</v>
      </c>
      <c r="E12" s="9" t="s">
        <v>3451</v>
      </c>
      <c r="F12" s="9" t="s">
        <v>1814</v>
      </c>
      <c r="G12" s="21" t="s">
        <v>488</v>
      </c>
      <c r="H12" s="21" t="str">
        <f t="array" ref="H12">INDEX('04_UC'!$G:$G,MATCH(G12,'04_UC'!$A:$A,0))</f>
        <v>Pha 1</v>
      </c>
    </row>
    <row r="13">
      <c r="A13" s="25" t="s">
        <v>3452</v>
      </c>
      <c r="B13" s="21" t="s">
        <v>115</v>
      </c>
      <c r="C13" s="75" t="s">
        <v>3453</v>
      </c>
      <c r="D13" s="74" t="s">
        <v>3454</v>
      </c>
      <c r="E13" s="9" t="s">
        <v>3455</v>
      </c>
      <c r="F13" s="9" t="s">
        <v>1814</v>
      </c>
      <c r="G13" s="21" t="s">
        <v>488</v>
      </c>
      <c r="H13" s="21" t="str">
        <f t="array" ref="H13">INDEX('04_UC'!$G:$G,MATCH(G13,'04_UC'!$A:$A,0))</f>
        <v>Pha 1</v>
      </c>
    </row>
    <row r="14">
      <c r="A14" s="25" t="s">
        <v>3456</v>
      </c>
      <c r="B14" s="21" t="s">
        <v>115</v>
      </c>
      <c r="C14" s="28" t="s">
        <v>3428</v>
      </c>
      <c r="D14" s="74" t="s">
        <v>3457</v>
      </c>
      <c r="E14" s="9" t="s">
        <v>3458</v>
      </c>
      <c r="F14" s="9" t="s">
        <v>3430</v>
      </c>
      <c r="G14" s="21" t="s">
        <v>493</v>
      </c>
      <c r="H14" s="21" t="str">
        <f t="array" ref="H14">INDEX('04_UC'!$G:$G,MATCH(G14,'04_UC'!$A:$A,0))</f>
        <v>Pha 1</v>
      </c>
    </row>
    <row r="15">
      <c r="A15" s="25" t="s">
        <v>3459</v>
      </c>
      <c r="B15" s="21" t="s">
        <v>115</v>
      </c>
      <c r="C15" s="28" t="s">
        <v>3428</v>
      </c>
      <c r="D15" s="74" t="s">
        <v>3460</v>
      </c>
      <c r="E15" s="9" t="s">
        <v>3461</v>
      </c>
      <c r="F15" s="9" t="s">
        <v>3430</v>
      </c>
      <c r="G15" s="21" t="s">
        <v>493</v>
      </c>
      <c r="H15" s="21" t="str">
        <f t="array" ref="H15">INDEX('04_UC'!$G:$G,MATCH(G15,'04_UC'!$A:$A,0))</f>
        <v>Pha 1</v>
      </c>
    </row>
    <row r="16">
      <c r="A16" s="25" t="s">
        <v>3462</v>
      </c>
      <c r="B16" s="21" t="s">
        <v>115</v>
      </c>
      <c r="C16" s="28" t="s">
        <v>3428</v>
      </c>
      <c r="D16" s="74" t="s">
        <v>3463</v>
      </c>
      <c r="E16" s="9" t="s">
        <v>496</v>
      </c>
      <c r="F16" s="9" t="s">
        <v>1814</v>
      </c>
      <c r="G16" s="21" t="s">
        <v>498</v>
      </c>
      <c r="H16" s="21" t="str">
        <f t="array" ref="H16">INDEX('04_UC'!$G:$G,MATCH(G16,'04_UC'!$A:$A,0))</f>
        <v>Pha 1</v>
      </c>
    </row>
    <row r="17">
      <c r="A17" s="25" t="s">
        <v>3464</v>
      </c>
      <c r="B17" s="21" t="s">
        <v>117</v>
      </c>
      <c r="C17" s="26" t="s">
        <v>3449</v>
      </c>
      <c r="D17" s="74" t="s">
        <v>3465</v>
      </c>
      <c r="E17" s="9" t="s">
        <v>3466</v>
      </c>
      <c r="F17" s="9" t="s">
        <v>1814</v>
      </c>
      <c r="G17" s="21" t="s">
        <v>360</v>
      </c>
      <c r="H17" s="21" t="str">
        <f t="array" ref="H17">INDEX('04_UC'!$G:$G,MATCH(G17,'04_UC'!$A:$A,0))</f>
        <v>Pha 1</v>
      </c>
    </row>
    <row r="18">
      <c r="A18" s="25" t="s">
        <v>3467</v>
      </c>
      <c r="B18" s="21" t="s">
        <v>117</v>
      </c>
      <c r="C18" s="29" t="s">
        <v>3468</v>
      </c>
      <c r="D18" s="74" t="s">
        <v>3469</v>
      </c>
      <c r="E18" s="9" t="s">
        <v>3470</v>
      </c>
      <c r="F18" s="9" t="s">
        <v>1814</v>
      </c>
      <c r="G18" s="21" t="s">
        <v>360</v>
      </c>
      <c r="H18" s="21" t="str">
        <f t="array" ref="H18">INDEX('04_UC'!$G:$G,MATCH(G18,'04_UC'!$A:$A,0))</f>
        <v>Pha 1</v>
      </c>
    </row>
    <row r="19">
      <c r="A19" s="25" t="s">
        <v>3471</v>
      </c>
      <c r="B19" s="21" t="s">
        <v>117</v>
      </c>
      <c r="C19" s="29" t="s">
        <v>3472</v>
      </c>
      <c r="D19" s="74" t="s">
        <v>3473</v>
      </c>
      <c r="E19" s="9" t="s">
        <v>3474</v>
      </c>
      <c r="F19" s="9" t="s">
        <v>1814</v>
      </c>
      <c r="G19" s="21" t="s">
        <v>360</v>
      </c>
      <c r="H19" s="21" t="str">
        <f t="array" ref="H19">INDEX('04_UC'!$G:$G,MATCH(G19,'04_UC'!$A:$A,0))</f>
        <v>Pha 1</v>
      </c>
    </row>
    <row r="20">
      <c r="A20" s="25" t="s">
        <v>3475</v>
      </c>
      <c r="B20" s="21" t="s">
        <v>117</v>
      </c>
      <c r="C20" s="26" t="s">
        <v>3449</v>
      </c>
      <c r="D20" s="74" t="s">
        <v>3476</v>
      </c>
      <c r="E20" s="9" t="s">
        <v>3477</v>
      </c>
      <c r="F20" s="9" t="s">
        <v>1814</v>
      </c>
      <c r="G20" s="21" t="s">
        <v>360</v>
      </c>
      <c r="H20" s="21" t="str">
        <f t="array" ref="H20">INDEX('04_UC'!$G:$G,MATCH(G20,'04_UC'!$A:$A,0))</f>
        <v>Pha 1</v>
      </c>
    </row>
    <row r="21" ht="15.75" customHeight="1">
      <c r="A21" s="25" t="s">
        <v>3478</v>
      </c>
      <c r="B21" s="21" t="s">
        <v>117</v>
      </c>
      <c r="C21" s="28" t="s">
        <v>3428</v>
      </c>
      <c r="D21" s="74" t="s">
        <v>3476</v>
      </c>
      <c r="E21" s="9" t="s">
        <v>3479</v>
      </c>
      <c r="F21" s="9" t="s">
        <v>1814</v>
      </c>
      <c r="G21" s="21" t="s">
        <v>360</v>
      </c>
      <c r="H21" s="21" t="str">
        <f t="array" ref="H21">INDEX('04_UC'!$G:$G,MATCH(G21,'04_UC'!$A:$A,0))</f>
        <v>Pha 1</v>
      </c>
    </row>
    <row r="22" ht="15.75" customHeight="1">
      <c r="A22" s="25" t="s">
        <v>3480</v>
      </c>
      <c r="B22" s="21" t="s">
        <v>117</v>
      </c>
      <c r="C22" s="29" t="s">
        <v>3468</v>
      </c>
      <c r="D22" s="74" t="s">
        <v>3481</v>
      </c>
      <c r="E22" s="9" t="s">
        <v>3482</v>
      </c>
      <c r="F22" s="9" t="s">
        <v>1814</v>
      </c>
      <c r="G22" s="21" t="s">
        <v>360</v>
      </c>
      <c r="H22" s="21" t="str">
        <f t="array" ref="H22">INDEX('04_UC'!$G:$G,MATCH(G22,'04_UC'!$A:$A,0))</f>
        <v>Pha 1</v>
      </c>
    </row>
    <row r="23" ht="15.75" customHeight="1">
      <c r="A23" s="25" t="s">
        <v>3483</v>
      </c>
      <c r="B23" s="21" t="s">
        <v>117</v>
      </c>
      <c r="C23" s="75" t="s">
        <v>3453</v>
      </c>
      <c r="D23" s="74" t="s">
        <v>3481</v>
      </c>
      <c r="E23" s="9" t="s">
        <v>3484</v>
      </c>
      <c r="F23" s="9" t="s">
        <v>1814</v>
      </c>
      <c r="G23" s="21" t="s">
        <v>360</v>
      </c>
      <c r="H23" s="21" t="str">
        <f t="array" ref="H23">INDEX('04_UC'!$G:$G,MATCH(G23,'04_UC'!$A:$A,0))</f>
        <v>Pha 1</v>
      </c>
    </row>
    <row r="24" ht="15.75" customHeight="1">
      <c r="A24" s="25" t="s">
        <v>3485</v>
      </c>
      <c r="B24" s="21" t="s">
        <v>117</v>
      </c>
      <c r="C24" s="28" t="s">
        <v>3428</v>
      </c>
      <c r="D24" s="74" t="s">
        <v>3486</v>
      </c>
      <c r="E24" s="9" t="s">
        <v>3487</v>
      </c>
      <c r="F24" s="9" t="s">
        <v>1814</v>
      </c>
      <c r="G24" s="21" t="s">
        <v>360</v>
      </c>
      <c r="H24" s="21" t="str">
        <f t="array" ref="H24">INDEX('04_UC'!$G:$G,MATCH(G24,'04_UC'!$A:$A,0))</f>
        <v>Pha 1</v>
      </c>
    </row>
    <row r="25" ht="15.75" customHeight="1">
      <c r="A25" s="25" t="s">
        <v>3488</v>
      </c>
      <c r="B25" s="21" t="s">
        <v>117</v>
      </c>
      <c r="C25" s="28" t="s">
        <v>3428</v>
      </c>
      <c r="D25" s="74" t="s">
        <v>3489</v>
      </c>
      <c r="E25" s="9" t="s">
        <v>3490</v>
      </c>
      <c r="F25" s="9" t="s">
        <v>1814</v>
      </c>
      <c r="G25" s="21" t="s">
        <v>360</v>
      </c>
      <c r="H25" s="21" t="str">
        <f t="array" ref="H25">INDEX('04_UC'!$G:$G,MATCH(G25,'04_UC'!$A:$A,0))</f>
        <v>Pha 1</v>
      </c>
    </row>
    <row r="26" ht="15.75" customHeight="1">
      <c r="A26" s="25" t="s">
        <v>3491</v>
      </c>
      <c r="B26" s="21" t="s">
        <v>117</v>
      </c>
      <c r="C26" s="28" t="s">
        <v>3428</v>
      </c>
      <c r="D26" s="74" t="s">
        <v>3492</v>
      </c>
      <c r="E26" s="9" t="s">
        <v>510</v>
      </c>
      <c r="F26" s="9" t="s">
        <v>1814</v>
      </c>
      <c r="G26" s="21" t="s">
        <v>363</v>
      </c>
      <c r="H26" s="21" t="str">
        <f t="array" ref="H26">INDEX('04_UC'!$G:$G,MATCH(G26,'04_UC'!$A:$A,0))</f>
        <v>Pha 1</v>
      </c>
    </row>
    <row r="27" ht="15.75" customHeight="1">
      <c r="A27" s="25" t="s">
        <v>3493</v>
      </c>
      <c r="B27" s="21" t="s">
        <v>117</v>
      </c>
      <c r="C27" s="26" t="s">
        <v>3449</v>
      </c>
      <c r="D27" s="74" t="s">
        <v>3492</v>
      </c>
      <c r="E27" s="9" t="s">
        <v>3494</v>
      </c>
      <c r="F27" s="9" t="s">
        <v>1814</v>
      </c>
      <c r="G27" s="21" t="s">
        <v>363</v>
      </c>
      <c r="H27" s="21" t="str">
        <f t="array" ref="H27">INDEX('04_UC'!$G:$G,MATCH(G27,'04_UC'!$A:$A,0))</f>
        <v>Pha 1</v>
      </c>
    </row>
    <row r="28" ht="15.75" customHeight="1">
      <c r="A28" s="25" t="s">
        <v>3495</v>
      </c>
      <c r="B28" s="21" t="s">
        <v>117</v>
      </c>
      <c r="C28" s="26" t="s">
        <v>3449</v>
      </c>
      <c r="D28" s="74" t="s">
        <v>3496</v>
      </c>
      <c r="E28" s="9" t="s">
        <v>3497</v>
      </c>
      <c r="F28" s="9" t="s">
        <v>3498</v>
      </c>
      <c r="G28" s="21" t="s">
        <v>365</v>
      </c>
      <c r="H28" s="21" t="str">
        <f t="array" ref="H28">INDEX('04_UC'!$G:$G,MATCH(G28,'04_UC'!$A:$A,0))</f>
        <v>Pha 1</v>
      </c>
    </row>
    <row r="29" ht="15.75" customHeight="1">
      <c r="A29" s="25" t="s">
        <v>3499</v>
      </c>
      <c r="B29" s="21" t="s">
        <v>117</v>
      </c>
      <c r="C29" s="26" t="s">
        <v>3449</v>
      </c>
      <c r="D29" s="74" t="s">
        <v>3500</v>
      </c>
      <c r="E29" s="9" t="s">
        <v>3501</v>
      </c>
      <c r="F29" s="9" t="s">
        <v>3498</v>
      </c>
      <c r="G29" s="21" t="s">
        <v>365</v>
      </c>
      <c r="H29" s="21" t="str">
        <f t="array" ref="H29">INDEX('04_UC'!$G:$G,MATCH(G29,'04_UC'!$A:$A,0))</f>
        <v>Pha 1</v>
      </c>
    </row>
    <row r="30" ht="15.75" customHeight="1">
      <c r="A30" s="25" t="s">
        <v>3502</v>
      </c>
      <c r="B30" s="21" t="s">
        <v>117</v>
      </c>
      <c r="C30" s="28" t="s">
        <v>3428</v>
      </c>
      <c r="D30" s="74" t="s">
        <v>3503</v>
      </c>
      <c r="E30" s="9" t="s">
        <v>3504</v>
      </c>
      <c r="F30" s="9" t="s">
        <v>3498</v>
      </c>
      <c r="G30" s="21" t="s">
        <v>365</v>
      </c>
      <c r="H30" s="21" t="str">
        <f t="array" ref="H30">INDEX('04_UC'!$G:$G,MATCH(G30,'04_UC'!$A:$A,0))</f>
        <v>Pha 1</v>
      </c>
    </row>
    <row r="31" ht="15.75" customHeight="1">
      <c r="A31" s="25" t="s">
        <v>3505</v>
      </c>
      <c r="B31" s="21" t="s">
        <v>117</v>
      </c>
      <c r="C31" s="28" t="s">
        <v>3428</v>
      </c>
      <c r="D31" s="74" t="s">
        <v>3506</v>
      </c>
      <c r="E31" s="9" t="s">
        <v>3507</v>
      </c>
      <c r="F31" s="9" t="s">
        <v>3498</v>
      </c>
      <c r="G31" s="21" t="s">
        <v>365</v>
      </c>
      <c r="H31" s="21" t="str">
        <f t="array" ref="H31">INDEX('04_UC'!$G:$G,MATCH(G31,'04_UC'!$A:$A,0))</f>
        <v>Pha 1</v>
      </c>
    </row>
    <row r="32" ht="15.75" customHeight="1">
      <c r="A32" s="25" t="s">
        <v>3508</v>
      </c>
      <c r="B32" s="21" t="s">
        <v>117</v>
      </c>
      <c r="C32" s="28" t="s">
        <v>3428</v>
      </c>
      <c r="D32" s="74" t="s">
        <v>3509</v>
      </c>
      <c r="E32" s="9" t="s">
        <v>366</v>
      </c>
      <c r="F32" s="9" t="s">
        <v>1814</v>
      </c>
      <c r="G32" s="21" t="s">
        <v>367</v>
      </c>
      <c r="H32" s="21" t="str">
        <f t="array" ref="H32">INDEX('04_UC'!$G:$G,MATCH(G32,'04_UC'!$A:$A,0))</f>
        <v>Pha 1</v>
      </c>
    </row>
    <row r="33" ht="15.75" customHeight="1">
      <c r="A33" s="25" t="s">
        <v>3510</v>
      </c>
      <c r="B33" s="21" t="s">
        <v>119</v>
      </c>
      <c r="C33" s="28" t="s">
        <v>3428</v>
      </c>
      <c r="D33" s="74" t="s">
        <v>3511</v>
      </c>
      <c r="E33" s="9" t="s">
        <v>3512</v>
      </c>
      <c r="F33" s="9" t="s">
        <v>3430</v>
      </c>
      <c r="G33" s="21" t="s">
        <v>354</v>
      </c>
      <c r="H33" s="21" t="str">
        <f t="array" ref="H33">INDEX('04_UC'!$G:$G,MATCH(G33,'04_UC'!$A:$A,0))</f>
        <v>Pha 1</v>
      </c>
    </row>
    <row r="34" ht="15.75" customHeight="1">
      <c r="A34" s="25" t="s">
        <v>3513</v>
      </c>
      <c r="B34" s="21" t="s">
        <v>119</v>
      </c>
      <c r="C34" s="28" t="s">
        <v>3428</v>
      </c>
      <c r="D34" s="74" t="s">
        <v>3514</v>
      </c>
      <c r="E34" s="9" t="s">
        <v>3515</v>
      </c>
      <c r="F34" s="9" t="s">
        <v>3516</v>
      </c>
      <c r="G34" s="21" t="s">
        <v>536</v>
      </c>
      <c r="H34" s="21" t="str">
        <f t="array" ref="H34">INDEX('04_UC'!$G:$G,MATCH(G34,'04_UC'!$A:$A,0))</f>
        <v>Pha 1</v>
      </c>
    </row>
    <row r="35" ht="15.75" customHeight="1">
      <c r="A35" s="25" t="s">
        <v>3517</v>
      </c>
      <c r="B35" s="21" t="s">
        <v>119</v>
      </c>
      <c r="C35" s="28" t="s">
        <v>3428</v>
      </c>
      <c r="D35" s="74" t="s">
        <v>3518</v>
      </c>
      <c r="E35" s="9" t="s">
        <v>3519</v>
      </c>
      <c r="F35" s="9" t="s">
        <v>3516</v>
      </c>
      <c r="G35" s="21" t="s">
        <v>536</v>
      </c>
      <c r="H35" s="21" t="str">
        <f t="array" ref="H35">INDEX('04_UC'!$G:$G,MATCH(G35,'04_UC'!$A:$A,0))</f>
        <v>Pha 1</v>
      </c>
    </row>
    <row r="36" ht="15.75" customHeight="1">
      <c r="A36" s="25" t="s">
        <v>3520</v>
      </c>
      <c r="B36" s="21" t="s">
        <v>119</v>
      </c>
      <c r="C36" s="28" t="s">
        <v>3428</v>
      </c>
      <c r="D36" s="74" t="s">
        <v>3521</v>
      </c>
      <c r="E36" s="9" t="s">
        <v>3522</v>
      </c>
      <c r="F36" s="9" t="s">
        <v>3516</v>
      </c>
      <c r="G36" s="21" t="s">
        <v>536</v>
      </c>
      <c r="H36" s="21" t="str">
        <f t="array" ref="H36">INDEX('04_UC'!$G:$G,MATCH(G36,'04_UC'!$A:$A,0))</f>
        <v>Pha 1</v>
      </c>
    </row>
    <row r="37" ht="15.75" customHeight="1">
      <c r="A37" s="25" t="s">
        <v>3523</v>
      </c>
      <c r="B37" s="21" t="s">
        <v>119</v>
      </c>
      <c r="C37" s="28" t="s">
        <v>3428</v>
      </c>
      <c r="D37" s="74" t="s">
        <v>3524</v>
      </c>
      <c r="E37" s="9" t="s">
        <v>3525</v>
      </c>
      <c r="F37" s="9" t="s">
        <v>3516</v>
      </c>
      <c r="G37" s="21" t="s">
        <v>536</v>
      </c>
      <c r="H37" s="21" t="str">
        <f t="array" ref="H37">INDEX('04_UC'!$G:$G,MATCH(G37,'04_UC'!$A:$A,0))</f>
        <v>Pha 1</v>
      </c>
    </row>
    <row r="38" ht="15.75" customHeight="1">
      <c r="A38" s="25" t="s">
        <v>3526</v>
      </c>
      <c r="B38" s="21" t="s">
        <v>119</v>
      </c>
      <c r="C38" s="26" t="s">
        <v>3449</v>
      </c>
      <c r="D38" s="74" t="s">
        <v>3514</v>
      </c>
      <c r="E38" s="9" t="s">
        <v>3527</v>
      </c>
      <c r="F38" s="9" t="s">
        <v>1814</v>
      </c>
      <c r="G38" s="21" t="s">
        <v>373</v>
      </c>
      <c r="H38" s="21" t="str">
        <f t="array" ref="H38">INDEX('04_UC'!$G:$G,MATCH(G38,'04_UC'!$A:$A,0))</f>
        <v>Pha 1</v>
      </c>
    </row>
    <row r="39" ht="15.75" customHeight="1">
      <c r="A39" s="25" t="s">
        <v>3528</v>
      </c>
      <c r="B39" s="21" t="s">
        <v>119</v>
      </c>
      <c r="C39" s="26" t="s">
        <v>3449</v>
      </c>
      <c r="D39" s="74" t="s">
        <v>3529</v>
      </c>
      <c r="E39" s="9" t="s">
        <v>3530</v>
      </c>
      <c r="F39" s="9" t="s">
        <v>1814</v>
      </c>
      <c r="G39" s="21" t="s">
        <v>373</v>
      </c>
      <c r="H39" s="21" t="str">
        <f t="array" ref="H39">INDEX('04_UC'!$G:$G,MATCH(G39,'04_UC'!$A:$A,0))</f>
        <v>Pha 1</v>
      </c>
    </row>
    <row r="40" ht="15.75" customHeight="1">
      <c r="A40" s="25" t="s">
        <v>3531</v>
      </c>
      <c r="B40" s="21" t="s">
        <v>119</v>
      </c>
      <c r="C40" s="26" t="s">
        <v>3449</v>
      </c>
      <c r="D40" s="74" t="s">
        <v>3532</v>
      </c>
      <c r="E40" s="9" t="s">
        <v>3533</v>
      </c>
      <c r="F40" s="9" t="s">
        <v>1814</v>
      </c>
      <c r="G40" s="21" t="s">
        <v>373</v>
      </c>
      <c r="H40" s="21" t="str">
        <f t="array" ref="H40">INDEX('04_UC'!$G:$G,MATCH(G40,'04_UC'!$A:$A,0))</f>
        <v>Pha 1</v>
      </c>
    </row>
    <row r="41" ht="15.75" customHeight="1">
      <c r="A41" s="25" t="s">
        <v>3534</v>
      </c>
      <c r="B41" s="21" t="s">
        <v>119</v>
      </c>
      <c r="C41" s="29" t="s">
        <v>3468</v>
      </c>
      <c r="D41" s="74" t="s">
        <v>3529</v>
      </c>
      <c r="E41" s="9" t="s">
        <v>569</v>
      </c>
      <c r="F41" s="9" t="s">
        <v>3516</v>
      </c>
      <c r="G41" s="21" t="s">
        <v>571</v>
      </c>
      <c r="H41" s="21" t="str">
        <f t="array" ref="H41">INDEX('04_UC'!$G:$G,MATCH(G41,'04_UC'!$A:$A,0))</f>
        <v>Pha 1</v>
      </c>
    </row>
    <row r="42" ht="15.75" customHeight="1">
      <c r="A42" s="25" t="s">
        <v>3535</v>
      </c>
      <c r="B42" s="21" t="s">
        <v>119</v>
      </c>
      <c r="C42" s="28" t="s">
        <v>3428</v>
      </c>
      <c r="D42" s="74" t="s">
        <v>3536</v>
      </c>
      <c r="E42" s="9" t="s">
        <v>3537</v>
      </c>
      <c r="F42" s="9" t="s">
        <v>1814</v>
      </c>
      <c r="G42" s="21" t="s">
        <v>371</v>
      </c>
      <c r="H42" s="21" t="str">
        <f t="array" ref="H42">INDEX('04_UC'!$G:$G,MATCH(G42,'04_UC'!$A:$A,0))</f>
        <v>Pha 1</v>
      </c>
    </row>
    <row r="43" ht="15.75" customHeight="1">
      <c r="A43" s="25" t="s">
        <v>3538</v>
      </c>
      <c r="B43" s="21" t="s">
        <v>121</v>
      </c>
      <c r="C43" s="26" t="s">
        <v>3449</v>
      </c>
      <c r="D43" s="74" t="s">
        <v>3539</v>
      </c>
      <c r="E43" s="9" t="s">
        <v>3540</v>
      </c>
      <c r="F43" s="9" t="s">
        <v>3541</v>
      </c>
      <c r="G43" s="21" t="s">
        <v>375</v>
      </c>
      <c r="H43" s="21" t="str">
        <f t="array" ref="H43">INDEX('04_UC'!$G:$G,MATCH(G43,'04_UC'!$A:$A,0))</f>
        <v>Pha 1</v>
      </c>
    </row>
    <row r="44" ht="15.75" customHeight="1">
      <c r="A44" s="25" t="s">
        <v>3542</v>
      </c>
      <c r="B44" s="21" t="s">
        <v>121</v>
      </c>
      <c r="C44" s="26" t="s">
        <v>3449</v>
      </c>
      <c r="D44" s="74" t="s">
        <v>3543</v>
      </c>
      <c r="E44" s="9" t="s">
        <v>3544</v>
      </c>
      <c r="F44" s="9" t="s">
        <v>3541</v>
      </c>
      <c r="G44" s="21" t="s">
        <v>375</v>
      </c>
      <c r="H44" s="21" t="str">
        <f t="array" ref="H44">INDEX('04_UC'!$G:$G,MATCH(G44,'04_UC'!$A:$A,0))</f>
        <v>Pha 1</v>
      </c>
    </row>
    <row r="45" ht="15.75" customHeight="1">
      <c r="A45" s="25" t="s">
        <v>3545</v>
      </c>
      <c r="B45" s="21" t="s">
        <v>121</v>
      </c>
      <c r="C45" s="26" t="s">
        <v>3449</v>
      </c>
      <c r="D45" s="74" t="s">
        <v>3546</v>
      </c>
      <c r="E45" s="9" t="s">
        <v>3547</v>
      </c>
      <c r="F45" s="9" t="s">
        <v>3541</v>
      </c>
      <c r="G45" s="21" t="s">
        <v>375</v>
      </c>
      <c r="H45" s="21" t="str">
        <f t="array" ref="H45">INDEX('04_UC'!$G:$G,MATCH(G45,'04_UC'!$A:$A,0))</f>
        <v>Pha 1</v>
      </c>
    </row>
    <row r="46" ht="15.75" customHeight="1">
      <c r="A46" s="25" t="s">
        <v>3548</v>
      </c>
      <c r="B46" s="21" t="s">
        <v>121</v>
      </c>
      <c r="C46" s="29" t="s">
        <v>3468</v>
      </c>
      <c r="D46" s="74" t="s">
        <v>3549</v>
      </c>
      <c r="E46" s="9" t="s">
        <v>3550</v>
      </c>
      <c r="F46" s="9" t="s">
        <v>3541</v>
      </c>
      <c r="G46" s="21" t="s">
        <v>375</v>
      </c>
      <c r="H46" s="21" t="str">
        <f t="array" ref="H46">INDEX('04_UC'!$G:$G,MATCH(G46,'04_UC'!$A:$A,0))</f>
        <v>Pha 1</v>
      </c>
    </row>
    <row r="47" ht="15.75" customHeight="1">
      <c r="A47" s="25" t="s">
        <v>3551</v>
      </c>
      <c r="B47" s="21" t="s">
        <v>121</v>
      </c>
      <c r="C47" s="28" t="s">
        <v>3428</v>
      </c>
      <c r="D47" s="74" t="s">
        <v>3552</v>
      </c>
      <c r="E47" s="9" t="s">
        <v>593</v>
      </c>
      <c r="F47" s="9" t="s">
        <v>3541</v>
      </c>
      <c r="G47" s="21" t="s">
        <v>595</v>
      </c>
      <c r="H47" s="21" t="str">
        <f t="array" ref="H47">INDEX('04_UC'!$G:$G,MATCH(G47,'04_UC'!$A:$A,0))</f>
        <v>Pha 1</v>
      </c>
    </row>
    <row r="48" ht="15.75" customHeight="1">
      <c r="A48" s="25" t="s">
        <v>3553</v>
      </c>
      <c r="B48" s="21" t="s">
        <v>121</v>
      </c>
      <c r="C48" s="28" t="s">
        <v>3428</v>
      </c>
      <c r="D48" s="74" t="s">
        <v>3554</v>
      </c>
      <c r="E48" s="9" t="s">
        <v>598</v>
      </c>
      <c r="F48" s="9" t="s">
        <v>3541</v>
      </c>
      <c r="G48" s="21" t="s">
        <v>600</v>
      </c>
      <c r="H48" s="21" t="str">
        <f t="array" ref="H48">INDEX('04_UC'!$G:$G,MATCH(G48,'04_UC'!$A:$A,0))</f>
        <v>Pha 1</v>
      </c>
    </row>
    <row r="49" ht="15.75" customHeight="1">
      <c r="A49" s="25" t="s">
        <v>3555</v>
      </c>
      <c r="B49" s="21" t="s">
        <v>121</v>
      </c>
      <c r="C49" s="75" t="s">
        <v>3453</v>
      </c>
      <c r="D49" s="74" t="s">
        <v>3556</v>
      </c>
      <c r="E49" s="9" t="s">
        <v>3557</v>
      </c>
      <c r="F49" s="9" t="s">
        <v>3541</v>
      </c>
      <c r="G49" s="21" t="s">
        <v>600</v>
      </c>
      <c r="H49" s="21" t="str">
        <f t="array" ref="H49">INDEX('04_UC'!$G:$G,MATCH(G49,'04_UC'!$A:$A,0))</f>
        <v>Pha 1</v>
      </c>
    </row>
    <row r="50" ht="15.75" customHeight="1">
      <c r="A50" s="25" t="s">
        <v>3558</v>
      </c>
      <c r="B50" s="21" t="s">
        <v>121</v>
      </c>
      <c r="C50" s="26" t="s">
        <v>3449</v>
      </c>
      <c r="D50" s="74" t="s">
        <v>3559</v>
      </c>
      <c r="E50" s="9" t="s">
        <v>3560</v>
      </c>
      <c r="F50" s="9" t="s">
        <v>3541</v>
      </c>
      <c r="G50" s="21" t="s">
        <v>600</v>
      </c>
      <c r="H50" s="21" t="str">
        <f t="array" ref="H50">INDEX('04_UC'!$G:$G,MATCH(G50,'04_UC'!$A:$A,0))</f>
        <v>Pha 1</v>
      </c>
    </row>
    <row r="51" ht="15.75" customHeight="1">
      <c r="A51" s="25" t="s">
        <v>3561</v>
      </c>
      <c r="B51" s="21" t="s">
        <v>121</v>
      </c>
      <c r="C51" s="26" t="s">
        <v>3449</v>
      </c>
      <c r="D51" s="74" t="s">
        <v>3554</v>
      </c>
      <c r="E51" s="9" t="s">
        <v>3562</v>
      </c>
      <c r="F51" s="9" t="s">
        <v>3516</v>
      </c>
      <c r="G51" s="21" t="s">
        <v>610</v>
      </c>
      <c r="H51" s="21" t="str">
        <f t="array" ref="H51">INDEX('04_UC'!$G:$G,MATCH(G51,'04_UC'!$A:$A,0))</f>
        <v>Pha 1</v>
      </c>
    </row>
    <row r="52" ht="15.75" customHeight="1">
      <c r="A52" s="25" t="s">
        <v>3563</v>
      </c>
      <c r="B52" s="21" t="s">
        <v>121</v>
      </c>
      <c r="C52" s="28" t="s">
        <v>3428</v>
      </c>
      <c r="D52" s="74" t="s">
        <v>3564</v>
      </c>
      <c r="E52" s="9" t="s">
        <v>3565</v>
      </c>
      <c r="F52" s="9" t="s">
        <v>3516</v>
      </c>
      <c r="G52" s="21" t="s">
        <v>610</v>
      </c>
      <c r="H52" s="21" t="str">
        <f t="array" ref="H52">INDEX('04_UC'!$G:$G,MATCH(G52,'04_UC'!$A:$A,0))</f>
        <v>Pha 1</v>
      </c>
    </row>
    <row r="53" ht="15.75" customHeight="1">
      <c r="A53" s="25" t="s">
        <v>3566</v>
      </c>
      <c r="B53" s="21" t="s">
        <v>121</v>
      </c>
      <c r="C53" s="28" t="s">
        <v>3428</v>
      </c>
      <c r="D53" s="74" t="s">
        <v>3567</v>
      </c>
      <c r="E53" s="9" t="s">
        <v>3568</v>
      </c>
      <c r="F53" s="9" t="s">
        <v>3516</v>
      </c>
      <c r="G53" s="21" t="s">
        <v>610</v>
      </c>
      <c r="H53" s="21" t="str">
        <f t="array" ref="H53">INDEX('04_UC'!$G:$G,MATCH(G53,'04_UC'!$A:$A,0))</f>
        <v>Pha 1</v>
      </c>
    </row>
    <row r="54" ht="15.75" customHeight="1">
      <c r="A54" s="25" t="s">
        <v>3569</v>
      </c>
      <c r="B54" s="21" t="s">
        <v>121</v>
      </c>
      <c r="C54" s="28" t="s">
        <v>3428</v>
      </c>
      <c r="D54" s="74" t="s">
        <v>3570</v>
      </c>
      <c r="E54" s="9" t="s">
        <v>3093</v>
      </c>
      <c r="F54" s="9" t="s">
        <v>1814</v>
      </c>
      <c r="G54" s="21" t="s">
        <v>610</v>
      </c>
      <c r="H54" s="21" t="str">
        <f t="array" ref="H54">INDEX('04_UC'!$G:$G,MATCH(G54,'04_UC'!$A:$A,0))</f>
        <v>Pha 1</v>
      </c>
    </row>
    <row r="55" ht="15.75" customHeight="1">
      <c r="A55" s="25" t="s">
        <v>3571</v>
      </c>
      <c r="B55" s="21" t="s">
        <v>121</v>
      </c>
      <c r="C55" s="28" t="s">
        <v>3428</v>
      </c>
      <c r="D55" s="74" t="s">
        <v>3572</v>
      </c>
      <c r="E55" s="9" t="s">
        <v>1922</v>
      </c>
      <c r="F55" s="9" t="s">
        <v>3516</v>
      </c>
      <c r="G55" s="21" t="s">
        <v>615</v>
      </c>
      <c r="H55" s="21" t="str">
        <f t="array" ref="H55">INDEX('04_UC'!$G:$G,MATCH(G55,'04_UC'!$A:$A,0))</f>
        <v>Pha 3</v>
      </c>
    </row>
    <row r="56" ht="15.75" customHeight="1">
      <c r="A56" s="25" t="s">
        <v>3573</v>
      </c>
      <c r="B56" s="21" t="s">
        <v>121</v>
      </c>
      <c r="C56" s="29" t="s">
        <v>3468</v>
      </c>
      <c r="D56" s="74" t="s">
        <v>3574</v>
      </c>
      <c r="E56" s="9" t="s">
        <v>3575</v>
      </c>
      <c r="F56" s="9" t="s">
        <v>3516</v>
      </c>
      <c r="G56" s="21" t="s">
        <v>615</v>
      </c>
      <c r="H56" s="21" t="str">
        <f t="array" ref="H56">INDEX('04_UC'!$G:$G,MATCH(G56,'04_UC'!$A:$A,0))</f>
        <v>Pha 3</v>
      </c>
    </row>
    <row r="57" ht="15.75" customHeight="1">
      <c r="A57" s="25" t="s">
        <v>3576</v>
      </c>
      <c r="B57" s="21" t="s">
        <v>121</v>
      </c>
      <c r="C57" s="26" t="s">
        <v>3449</v>
      </c>
      <c r="D57" s="74" t="s">
        <v>3577</v>
      </c>
      <c r="E57" s="9" t="s">
        <v>3578</v>
      </c>
      <c r="F57" s="9" t="s">
        <v>3541</v>
      </c>
      <c r="G57" s="21" t="s">
        <v>381</v>
      </c>
      <c r="H57" s="21" t="str">
        <f t="array" ref="H57">INDEX('04_UC'!$G:$G,MATCH(G57,'04_UC'!$A:$A,0))</f>
        <v>Pha 2</v>
      </c>
    </row>
    <row r="58" ht="15.75" customHeight="1">
      <c r="A58" s="25" t="s">
        <v>3579</v>
      </c>
      <c r="B58" s="21" t="s">
        <v>121</v>
      </c>
      <c r="C58" s="26" t="s">
        <v>3449</v>
      </c>
      <c r="D58" s="74" t="s">
        <v>3580</v>
      </c>
      <c r="E58" s="9" t="s">
        <v>3581</v>
      </c>
      <c r="F58" s="9" t="s">
        <v>3516</v>
      </c>
      <c r="G58" s="21" t="s">
        <v>381</v>
      </c>
      <c r="H58" s="21" t="str">
        <f t="array" ref="H58">INDEX('04_UC'!$G:$G,MATCH(G58,'04_UC'!$A:$A,0))</f>
        <v>Pha 2</v>
      </c>
    </row>
    <row r="59" ht="15.75" customHeight="1">
      <c r="A59" s="25" t="s">
        <v>3582</v>
      </c>
      <c r="B59" s="21" t="s">
        <v>123</v>
      </c>
      <c r="C59" s="28" t="s">
        <v>3428</v>
      </c>
      <c r="D59" s="74" t="s">
        <v>3583</v>
      </c>
      <c r="E59" s="9" t="s">
        <v>626</v>
      </c>
      <c r="F59" s="9" t="s">
        <v>3541</v>
      </c>
      <c r="G59" s="21" t="s">
        <v>628</v>
      </c>
      <c r="H59" s="21" t="str">
        <f t="array" ref="H59">INDEX('04_UC'!$G:$G,MATCH(G59,'04_UC'!$A:$A,0))</f>
        <v>Pha 2</v>
      </c>
    </row>
    <row r="60" ht="15.75" customHeight="1">
      <c r="A60" s="25" t="s">
        <v>3584</v>
      </c>
      <c r="B60" s="21" t="s">
        <v>123</v>
      </c>
      <c r="C60" s="26" t="s">
        <v>3449</v>
      </c>
      <c r="D60" s="74" t="s">
        <v>3583</v>
      </c>
      <c r="E60" s="9" t="s">
        <v>3585</v>
      </c>
      <c r="F60" s="9" t="s">
        <v>3541</v>
      </c>
      <c r="G60" s="21" t="s">
        <v>628</v>
      </c>
      <c r="H60" s="21" t="str">
        <f t="array" ref="H60">INDEX('04_UC'!$G:$G,MATCH(G60,'04_UC'!$A:$A,0))</f>
        <v>Pha 2</v>
      </c>
    </row>
    <row r="61" ht="15.75" customHeight="1">
      <c r="A61" s="25" t="s">
        <v>3586</v>
      </c>
      <c r="B61" s="21" t="s">
        <v>123</v>
      </c>
      <c r="C61" s="26" t="s">
        <v>3449</v>
      </c>
      <c r="D61" s="74" t="s">
        <v>3587</v>
      </c>
      <c r="E61" s="9" t="s">
        <v>3588</v>
      </c>
      <c r="F61" s="9" t="s">
        <v>3541</v>
      </c>
      <c r="G61" s="21" t="s">
        <v>642</v>
      </c>
      <c r="H61" s="21" t="str">
        <f t="array" ref="H61">INDEX('04_UC'!$G:$G,MATCH(G61,'04_UC'!$A:$A,0))</f>
        <v>Pha 2</v>
      </c>
    </row>
    <row r="62" ht="15.75" customHeight="1">
      <c r="A62" s="25" t="s">
        <v>3589</v>
      </c>
      <c r="B62" s="21" t="s">
        <v>123</v>
      </c>
      <c r="C62" s="29" t="s">
        <v>3468</v>
      </c>
      <c r="D62" s="74" t="s">
        <v>3587</v>
      </c>
      <c r="E62" s="9" t="s">
        <v>3590</v>
      </c>
      <c r="F62" s="9" t="s">
        <v>3541</v>
      </c>
      <c r="G62" s="21" t="s">
        <v>642</v>
      </c>
      <c r="H62" s="21" t="str">
        <f t="array" ref="H62">INDEX('04_UC'!$G:$G,MATCH(G62,'04_UC'!$A:$A,0))</f>
        <v>Pha 2</v>
      </c>
    </row>
    <row r="63" ht="15.75" customHeight="1">
      <c r="A63" s="25" t="s">
        <v>3591</v>
      </c>
      <c r="B63" s="21" t="s">
        <v>123</v>
      </c>
      <c r="C63" s="28" t="s">
        <v>3428</v>
      </c>
      <c r="D63" s="74" t="s">
        <v>3592</v>
      </c>
      <c r="E63" s="9" t="s">
        <v>3593</v>
      </c>
      <c r="F63" s="9" t="s">
        <v>3541</v>
      </c>
      <c r="G63" s="21" t="s">
        <v>642</v>
      </c>
      <c r="H63" s="21" t="str">
        <f t="array" ref="H63">INDEX('04_UC'!$G:$G,MATCH(G63,'04_UC'!$A:$A,0))</f>
        <v>Pha 2</v>
      </c>
    </row>
    <row r="64" ht="15.75" customHeight="1">
      <c r="A64" s="25" t="s">
        <v>3594</v>
      </c>
      <c r="B64" s="21" t="s">
        <v>123</v>
      </c>
      <c r="C64" s="28" t="s">
        <v>3428</v>
      </c>
      <c r="D64" s="74" t="s">
        <v>3595</v>
      </c>
      <c r="E64" s="9" t="s">
        <v>3596</v>
      </c>
      <c r="F64" s="9" t="s">
        <v>3541</v>
      </c>
      <c r="G64" s="21" t="s">
        <v>642</v>
      </c>
      <c r="H64" s="21" t="str">
        <f t="array" ref="H64">INDEX('04_UC'!$G:$G,MATCH(G64,'04_UC'!$A:$A,0))</f>
        <v>Pha 2</v>
      </c>
    </row>
    <row r="65" ht="15.75" customHeight="1">
      <c r="A65" s="25" t="s">
        <v>3597</v>
      </c>
      <c r="B65" s="21" t="s">
        <v>123</v>
      </c>
      <c r="C65" s="28" t="s">
        <v>3428</v>
      </c>
      <c r="D65" s="74" t="s">
        <v>3598</v>
      </c>
      <c r="E65" s="9" t="s">
        <v>3599</v>
      </c>
      <c r="F65" s="9" t="s">
        <v>3541</v>
      </c>
      <c r="G65" s="21" t="s">
        <v>642</v>
      </c>
      <c r="H65" s="21" t="str">
        <f t="array" ref="H65">INDEX('04_UC'!$G:$G,MATCH(G65,'04_UC'!$A:$A,0))</f>
        <v>Pha 2</v>
      </c>
    </row>
    <row r="66" ht="15.75" customHeight="1">
      <c r="A66" s="25" t="s">
        <v>3600</v>
      </c>
      <c r="B66" s="21" t="s">
        <v>125</v>
      </c>
      <c r="C66" s="26" t="s">
        <v>3449</v>
      </c>
      <c r="D66" s="74" t="s">
        <v>3601</v>
      </c>
      <c r="E66" s="9" t="s">
        <v>3602</v>
      </c>
      <c r="F66" s="9" t="s">
        <v>1814</v>
      </c>
      <c r="G66" s="21" t="s">
        <v>385</v>
      </c>
      <c r="H66" s="21" t="str">
        <f t="array" ref="H66">INDEX('04_UC'!$G:$G,MATCH(G66,'04_UC'!$A:$A,0))</f>
        <v>Pha 1</v>
      </c>
    </row>
    <row r="67" ht="15.75" customHeight="1">
      <c r="A67" s="25" t="s">
        <v>3603</v>
      </c>
      <c r="B67" s="21" t="s">
        <v>125</v>
      </c>
      <c r="C67" s="28" t="s">
        <v>3428</v>
      </c>
      <c r="D67" s="74" t="s">
        <v>3601</v>
      </c>
      <c r="E67" s="9" t="s">
        <v>3604</v>
      </c>
      <c r="F67" s="9" t="s">
        <v>1814</v>
      </c>
      <c r="G67" s="21" t="s">
        <v>385</v>
      </c>
      <c r="H67" s="21" t="str">
        <f t="array" ref="H67">INDEX('04_UC'!$G:$G,MATCH(G67,'04_UC'!$A:$A,0))</f>
        <v>Pha 1</v>
      </c>
    </row>
    <row r="68" ht="15.75" customHeight="1">
      <c r="A68" s="25" t="s">
        <v>3605</v>
      </c>
      <c r="B68" s="21" t="s">
        <v>125</v>
      </c>
      <c r="C68" s="28" t="s">
        <v>3428</v>
      </c>
      <c r="D68" s="74" t="s">
        <v>3606</v>
      </c>
      <c r="E68" s="9" t="s">
        <v>661</v>
      </c>
      <c r="F68" s="9" t="s">
        <v>1814</v>
      </c>
      <c r="G68" s="21" t="s">
        <v>385</v>
      </c>
      <c r="H68" s="21" t="str">
        <f t="array" ref="H68">INDEX('04_UC'!$G:$G,MATCH(G68,'04_UC'!$A:$A,0))</f>
        <v>Pha 1</v>
      </c>
    </row>
    <row r="69" ht="15.75" customHeight="1">
      <c r="A69" s="25" t="s">
        <v>3607</v>
      </c>
      <c r="B69" s="21" t="s">
        <v>125</v>
      </c>
      <c r="C69" s="76" t="s">
        <v>3608</v>
      </c>
      <c r="D69" s="74" t="s">
        <v>3609</v>
      </c>
      <c r="E69" s="9" t="s">
        <v>3610</v>
      </c>
      <c r="F69" s="9" t="s">
        <v>1814</v>
      </c>
      <c r="G69" s="21" t="s">
        <v>385</v>
      </c>
      <c r="H69" s="21" t="str">
        <f t="array" ref="H69">INDEX('04_UC'!$G:$G,MATCH(G69,'04_UC'!$A:$A,0))</f>
        <v>Pha 1</v>
      </c>
    </row>
    <row r="70" ht="15.75" customHeight="1">
      <c r="A70" s="25" t="s">
        <v>3611</v>
      </c>
      <c r="B70" s="21" t="s">
        <v>127</v>
      </c>
      <c r="C70" s="28" t="s">
        <v>3428</v>
      </c>
      <c r="D70" s="74" t="s">
        <v>3612</v>
      </c>
      <c r="E70" s="9" t="s">
        <v>3613</v>
      </c>
      <c r="F70" s="9" t="s">
        <v>3516</v>
      </c>
      <c r="G70" s="21" t="s">
        <v>673</v>
      </c>
      <c r="H70" s="21" t="str">
        <f t="array" ref="H70">INDEX('04_UC'!$G:$G,MATCH(G70,'04_UC'!$A:$A,0))</f>
        <v>Pha 1</v>
      </c>
    </row>
    <row r="71" ht="15.75" customHeight="1">
      <c r="A71" s="25" t="s">
        <v>3614</v>
      </c>
      <c r="B71" s="21" t="s">
        <v>127</v>
      </c>
      <c r="C71" s="28" t="s">
        <v>3428</v>
      </c>
      <c r="D71" s="74" t="s">
        <v>3615</v>
      </c>
      <c r="E71" s="9" t="s">
        <v>3616</v>
      </c>
      <c r="F71" s="9" t="s">
        <v>3541</v>
      </c>
      <c r="G71" s="21" t="s">
        <v>673</v>
      </c>
      <c r="H71" s="21" t="str">
        <f t="array" ref="H71">INDEX('04_UC'!$G:$G,MATCH(G71,'04_UC'!$A:$A,0))</f>
        <v>Pha 1</v>
      </c>
    </row>
    <row r="72" ht="15.75" customHeight="1">
      <c r="A72" s="25" t="s">
        <v>3617</v>
      </c>
      <c r="B72" s="21" t="s">
        <v>127</v>
      </c>
      <c r="C72" s="28" t="s">
        <v>3428</v>
      </c>
      <c r="D72" s="74" t="s">
        <v>3618</v>
      </c>
      <c r="E72" s="9" t="s">
        <v>3619</v>
      </c>
      <c r="F72" s="9" t="s">
        <v>3541</v>
      </c>
      <c r="G72" s="21" t="s">
        <v>682</v>
      </c>
      <c r="H72" s="21" t="str">
        <f t="array" ref="H72">INDEX('04_UC'!$G:$G,MATCH(G72,'04_UC'!$A:$A,0))</f>
        <v>Pha 1</v>
      </c>
    </row>
    <row r="73" ht="15.75" customHeight="1">
      <c r="A73" s="25" t="s">
        <v>3620</v>
      </c>
      <c r="B73" s="21" t="s">
        <v>127</v>
      </c>
      <c r="C73" s="28" t="s">
        <v>3428</v>
      </c>
      <c r="D73" s="74" t="s">
        <v>3621</v>
      </c>
      <c r="E73" s="9" t="s">
        <v>3622</v>
      </c>
      <c r="F73" s="9" t="s">
        <v>3541</v>
      </c>
      <c r="G73" s="21" t="s">
        <v>682</v>
      </c>
      <c r="H73" s="21" t="str">
        <f t="array" ref="H73">INDEX('04_UC'!$G:$G,MATCH(G73,'04_UC'!$A:$A,0))</f>
        <v>Pha 1</v>
      </c>
    </row>
    <row r="74" ht="15.75" customHeight="1">
      <c r="A74" s="25" t="s">
        <v>3623</v>
      </c>
      <c r="B74" s="21" t="s">
        <v>127</v>
      </c>
      <c r="C74" s="26" t="s">
        <v>3449</v>
      </c>
      <c r="D74" s="74" t="s">
        <v>3624</v>
      </c>
      <c r="E74" s="9" t="s">
        <v>3625</v>
      </c>
      <c r="F74" s="9" t="s">
        <v>1814</v>
      </c>
      <c r="G74" s="21" t="s">
        <v>392</v>
      </c>
      <c r="H74" s="21" t="str">
        <f t="array" ref="H74">INDEX('04_UC'!$G:$G,MATCH(G74,'04_UC'!$A:$A,0))</f>
        <v>Pha 1</v>
      </c>
    </row>
    <row r="75" ht="15.75" customHeight="1">
      <c r="A75" s="25" t="s">
        <v>3626</v>
      </c>
      <c r="B75" s="21" t="s">
        <v>127</v>
      </c>
      <c r="C75" s="26" t="s">
        <v>3449</v>
      </c>
      <c r="D75" s="74" t="s">
        <v>3627</v>
      </c>
      <c r="E75" s="9" t="s">
        <v>3628</v>
      </c>
      <c r="F75" s="9" t="s">
        <v>3629</v>
      </c>
      <c r="G75" s="21" t="s">
        <v>392</v>
      </c>
      <c r="H75" s="21" t="str">
        <f t="array" ref="H75">INDEX('04_UC'!$G:$G,MATCH(G75,'04_UC'!$A:$A,0))</f>
        <v>Pha 1</v>
      </c>
    </row>
    <row r="76" ht="15.75" customHeight="1">
      <c r="A76" s="25" t="s">
        <v>3630</v>
      </c>
      <c r="B76" s="21" t="s">
        <v>127</v>
      </c>
      <c r="C76" s="76" t="s">
        <v>3608</v>
      </c>
      <c r="D76" s="74" t="s">
        <v>3631</v>
      </c>
      <c r="E76" s="9" t="s">
        <v>3632</v>
      </c>
      <c r="F76" s="9" t="s">
        <v>1814</v>
      </c>
      <c r="G76" s="21" t="s">
        <v>392</v>
      </c>
      <c r="H76" s="21" t="str">
        <f t="array" ref="H76">INDEX('04_UC'!$G:$G,MATCH(G76,'04_UC'!$A:$A,0))</f>
        <v>Pha 1</v>
      </c>
    </row>
    <row r="77" ht="15.75" customHeight="1">
      <c r="A77" s="25" t="s">
        <v>3633</v>
      </c>
      <c r="B77" s="21" t="s">
        <v>127</v>
      </c>
      <c r="C77" s="28" t="s">
        <v>3428</v>
      </c>
      <c r="D77" s="74" t="s">
        <v>3634</v>
      </c>
      <c r="E77" s="9" t="s">
        <v>3635</v>
      </c>
      <c r="F77" s="9" t="s">
        <v>3541</v>
      </c>
      <c r="G77" s="21" t="s">
        <v>699</v>
      </c>
      <c r="H77" s="21" t="str">
        <f t="array" ref="H77">INDEX('04_UC'!$G:$G,MATCH(G77,'04_UC'!$A:$A,0))</f>
        <v>Pha 1</v>
      </c>
    </row>
    <row r="78" ht="15.75" customHeight="1">
      <c r="A78" s="25" t="s">
        <v>3636</v>
      </c>
      <c r="B78" s="21" t="s">
        <v>127</v>
      </c>
      <c r="C78" s="28" t="s">
        <v>3428</v>
      </c>
      <c r="D78" s="74" t="s">
        <v>3637</v>
      </c>
      <c r="E78" s="9" t="s">
        <v>3638</v>
      </c>
      <c r="F78" s="9" t="s">
        <v>3541</v>
      </c>
      <c r="G78" s="21" t="s">
        <v>699</v>
      </c>
      <c r="H78" s="21" t="str">
        <f t="array" ref="H78">INDEX('04_UC'!$G:$G,MATCH(G78,'04_UC'!$A:$A,0))</f>
        <v>Pha 1</v>
      </c>
    </row>
    <row r="79" ht="15.75" customHeight="1">
      <c r="A79" s="25" t="s">
        <v>3639</v>
      </c>
      <c r="B79" s="21" t="s">
        <v>127</v>
      </c>
      <c r="C79" s="28" t="s">
        <v>3428</v>
      </c>
      <c r="D79" s="74" t="s">
        <v>3640</v>
      </c>
      <c r="E79" s="9" t="s">
        <v>3641</v>
      </c>
      <c r="F79" s="9" t="s">
        <v>3541</v>
      </c>
      <c r="G79" s="21" t="s">
        <v>699</v>
      </c>
      <c r="H79" s="21" t="str">
        <f t="array" ref="H79">INDEX('04_UC'!$G:$G,MATCH(G79,'04_UC'!$A:$A,0))</f>
        <v>Pha 1</v>
      </c>
    </row>
    <row r="80" ht="15.75" customHeight="1">
      <c r="A80" s="25" t="s">
        <v>3642</v>
      </c>
      <c r="B80" s="21" t="s">
        <v>127</v>
      </c>
      <c r="C80" s="28" t="s">
        <v>3428</v>
      </c>
      <c r="D80" s="74" t="s">
        <v>3643</v>
      </c>
      <c r="E80" s="9" t="s">
        <v>706</v>
      </c>
      <c r="F80" s="9" t="s">
        <v>3541</v>
      </c>
      <c r="G80" s="21" t="s">
        <v>708</v>
      </c>
      <c r="H80" s="21" t="str">
        <f t="array" ref="H80">INDEX('04_UC'!$G:$G,MATCH(G80,'04_UC'!$A:$A,0))</f>
        <v>Pha 1</v>
      </c>
    </row>
    <row r="81" ht="15.75" customHeight="1">
      <c r="A81" s="25" t="s">
        <v>3644</v>
      </c>
      <c r="B81" s="21" t="s">
        <v>127</v>
      </c>
      <c r="C81" s="28" t="s">
        <v>3428</v>
      </c>
      <c r="D81" s="74" t="s">
        <v>3645</v>
      </c>
      <c r="E81" s="9" t="s">
        <v>3646</v>
      </c>
      <c r="F81" s="9" t="s">
        <v>1814</v>
      </c>
      <c r="G81" s="21" t="s">
        <v>708</v>
      </c>
      <c r="H81" s="21" t="str">
        <f t="array" ref="H81">INDEX('04_UC'!$G:$G,MATCH(G81,'04_UC'!$A:$A,0))</f>
        <v>Pha 1</v>
      </c>
    </row>
    <row r="82" ht="15.75" customHeight="1">
      <c r="A82" s="25" t="s">
        <v>3647</v>
      </c>
      <c r="B82" s="21" t="s">
        <v>127</v>
      </c>
      <c r="C82" s="28" t="s">
        <v>3428</v>
      </c>
      <c r="D82" s="74" t="s">
        <v>3648</v>
      </c>
      <c r="E82" s="9" t="s">
        <v>3649</v>
      </c>
      <c r="F82" s="9" t="s">
        <v>3541</v>
      </c>
      <c r="G82" s="21" t="s">
        <v>713</v>
      </c>
      <c r="H82" s="21" t="str">
        <f t="array" ref="H82">INDEX('04_UC'!$G:$G,MATCH(G82,'04_UC'!$A:$A,0))</f>
        <v>Pha 1</v>
      </c>
    </row>
    <row r="83" ht="15.75" customHeight="1">
      <c r="A83" s="25" t="s">
        <v>3650</v>
      </c>
      <c r="B83" s="21" t="s">
        <v>127</v>
      </c>
      <c r="C83" s="28" t="s">
        <v>3428</v>
      </c>
      <c r="D83" s="74" t="s">
        <v>3651</v>
      </c>
      <c r="E83" s="9" t="s">
        <v>3652</v>
      </c>
      <c r="F83" s="9" t="s">
        <v>3516</v>
      </c>
      <c r="G83" s="21" t="s">
        <v>713</v>
      </c>
      <c r="H83" s="21" t="str">
        <f t="array" ref="H83">INDEX('04_UC'!$G:$G,MATCH(G83,'04_UC'!$A:$A,0))</f>
        <v>Pha 1</v>
      </c>
    </row>
    <row r="84" ht="15.75" customHeight="1">
      <c r="A84" s="25" t="s">
        <v>3653</v>
      </c>
      <c r="B84" s="21" t="s">
        <v>129</v>
      </c>
      <c r="C84" s="28" t="s">
        <v>3428</v>
      </c>
      <c r="D84" s="74" t="s">
        <v>3654</v>
      </c>
      <c r="E84" s="9" t="s">
        <v>3655</v>
      </c>
      <c r="F84" s="9" t="s">
        <v>3541</v>
      </c>
      <c r="G84" s="21" t="s">
        <v>723</v>
      </c>
      <c r="H84" s="21" t="str">
        <f t="array" ref="H84">INDEX('04_UC'!$G:$G,MATCH(G84,'04_UC'!$A:$A,0))</f>
        <v>Pha 3</v>
      </c>
    </row>
    <row r="85" ht="15.75" customHeight="1">
      <c r="A85" s="25" t="s">
        <v>3656</v>
      </c>
      <c r="B85" s="21" t="s">
        <v>129</v>
      </c>
      <c r="C85" s="26" t="s">
        <v>3449</v>
      </c>
      <c r="D85" s="74" t="s">
        <v>3657</v>
      </c>
      <c r="E85" s="9" t="s">
        <v>3658</v>
      </c>
      <c r="F85" s="9" t="s">
        <v>3541</v>
      </c>
      <c r="G85" s="21" t="s">
        <v>723</v>
      </c>
      <c r="H85" s="21" t="str">
        <f t="array" ref="H85">INDEX('04_UC'!$G:$G,MATCH(G85,'04_UC'!$A:$A,0))</f>
        <v>Pha 3</v>
      </c>
    </row>
    <row r="86" ht="15.75" customHeight="1">
      <c r="A86" s="25" t="s">
        <v>3659</v>
      </c>
      <c r="B86" s="21" t="s">
        <v>129</v>
      </c>
      <c r="C86" s="28" t="s">
        <v>3428</v>
      </c>
      <c r="D86" s="74" t="s">
        <v>3660</v>
      </c>
      <c r="E86" s="9" t="s">
        <v>1995</v>
      </c>
      <c r="F86" s="9" t="s">
        <v>3516</v>
      </c>
      <c r="G86" s="21" t="s">
        <v>732</v>
      </c>
      <c r="H86" s="21" t="str">
        <f t="array" ref="H86">INDEX('04_UC'!$G:$G,MATCH(G86,'04_UC'!$A:$A,0))</f>
        <v>Pha 3</v>
      </c>
    </row>
    <row r="87" ht="15.75" customHeight="1">
      <c r="A87" s="25" t="s">
        <v>3661</v>
      </c>
      <c r="B87" s="21" t="s">
        <v>129</v>
      </c>
      <c r="C87" s="28" t="s">
        <v>3428</v>
      </c>
      <c r="D87" s="74" t="s">
        <v>3662</v>
      </c>
      <c r="E87" s="9" t="s">
        <v>3663</v>
      </c>
      <c r="F87" s="9" t="s">
        <v>3541</v>
      </c>
      <c r="G87" s="21" t="s">
        <v>737</v>
      </c>
      <c r="H87" s="21" t="str">
        <f t="array" ref="H87">INDEX('04_UC'!$G:$G,MATCH(G87,'04_UC'!$A:$A,0))</f>
        <v>Pha 3</v>
      </c>
    </row>
    <row r="88" ht="15.75" customHeight="1">
      <c r="A88" s="25" t="s">
        <v>3664</v>
      </c>
      <c r="B88" s="21" t="s">
        <v>131</v>
      </c>
      <c r="C88" s="28" t="s">
        <v>3428</v>
      </c>
      <c r="D88" s="74" t="s">
        <v>3665</v>
      </c>
      <c r="E88" s="9" t="s">
        <v>3666</v>
      </c>
      <c r="F88" s="9" t="s">
        <v>1814</v>
      </c>
      <c r="G88" s="21" t="s">
        <v>752</v>
      </c>
      <c r="H88" s="21" t="str">
        <f t="array" ref="H88">INDEX('04_UC'!$G:$G,MATCH(G88,'04_UC'!$A:$A,0))</f>
        <v>Pha 1</v>
      </c>
    </row>
    <row r="89" ht="15.75" customHeight="1">
      <c r="A89" s="25" t="s">
        <v>3667</v>
      </c>
      <c r="B89" s="21" t="s">
        <v>131</v>
      </c>
      <c r="C89" s="26" t="s">
        <v>3449</v>
      </c>
      <c r="D89" s="74" t="s">
        <v>3668</v>
      </c>
      <c r="E89" s="9" t="s">
        <v>3669</v>
      </c>
      <c r="F89" s="9" t="s">
        <v>3430</v>
      </c>
      <c r="G89" s="21" t="s">
        <v>752</v>
      </c>
      <c r="H89" s="21" t="str">
        <f t="array" ref="H89">INDEX('04_UC'!$G:$G,MATCH(G89,'04_UC'!$A:$A,0))</f>
        <v>Pha 1</v>
      </c>
    </row>
    <row r="90" ht="15.75" customHeight="1">
      <c r="A90" s="25" t="s">
        <v>3670</v>
      </c>
      <c r="B90" s="21" t="s">
        <v>131</v>
      </c>
      <c r="C90" s="26" t="s">
        <v>3449</v>
      </c>
      <c r="D90" s="74" t="s">
        <v>3671</v>
      </c>
      <c r="E90" s="9" t="s">
        <v>3672</v>
      </c>
      <c r="F90" s="9" t="s">
        <v>3673</v>
      </c>
      <c r="G90" s="21" t="s">
        <v>766</v>
      </c>
      <c r="H90" s="21" t="str">
        <f t="array" ref="H90">INDEX('04_UC'!$G:$G,MATCH(G90,'04_UC'!$A:$A,0))</f>
        <v>Pha 1</v>
      </c>
    </row>
    <row r="91" ht="15.75" customHeight="1">
      <c r="A91" s="25" t="s">
        <v>3674</v>
      </c>
      <c r="B91" s="21" t="s">
        <v>131</v>
      </c>
      <c r="C91" s="28" t="s">
        <v>3428</v>
      </c>
      <c r="D91" s="74" t="s">
        <v>3675</v>
      </c>
      <c r="E91" s="9" t="s">
        <v>3676</v>
      </c>
      <c r="F91" s="9" t="s">
        <v>3516</v>
      </c>
      <c r="G91" s="21" t="s">
        <v>399</v>
      </c>
      <c r="H91" s="21" t="str">
        <f t="array" ref="H91">INDEX('04_UC'!$G:$G,MATCH(G91,'04_UC'!$A:$A,0))</f>
        <v>Pha 1</v>
      </c>
    </row>
    <row r="92" ht="15.75" customHeight="1">
      <c r="A92" s="25" t="s">
        <v>3677</v>
      </c>
      <c r="B92" s="21" t="s">
        <v>131</v>
      </c>
      <c r="C92" s="26" t="s">
        <v>3449</v>
      </c>
      <c r="D92" s="74" t="s">
        <v>3678</v>
      </c>
      <c r="E92" s="9" t="s">
        <v>3679</v>
      </c>
      <c r="F92" s="9" t="s">
        <v>1814</v>
      </c>
      <c r="G92" s="21" t="s">
        <v>776</v>
      </c>
      <c r="H92" s="21" t="str">
        <f t="array" ref="H92">INDEX('04_UC'!$G:$G,MATCH(G92,'04_UC'!$A:$A,0))</f>
        <v>Pha 1</v>
      </c>
    </row>
    <row r="93" ht="15.75" customHeight="1">
      <c r="A93" s="25" t="s">
        <v>3680</v>
      </c>
      <c r="B93" s="21" t="s">
        <v>131</v>
      </c>
      <c r="C93" s="26" t="s">
        <v>3449</v>
      </c>
      <c r="D93" s="74" t="s">
        <v>3681</v>
      </c>
      <c r="E93" s="9" t="s">
        <v>3682</v>
      </c>
      <c r="F93" s="9" t="s">
        <v>1814</v>
      </c>
      <c r="G93" s="21" t="s">
        <v>776</v>
      </c>
      <c r="H93" s="21" t="str">
        <f t="array" ref="H93">INDEX('04_UC'!$G:$G,MATCH(G93,'04_UC'!$A:$A,0))</f>
        <v>Pha 1</v>
      </c>
    </row>
    <row r="94" ht="15.75" customHeight="1">
      <c r="A94" s="25" t="s">
        <v>3683</v>
      </c>
      <c r="B94" s="21" t="s">
        <v>131</v>
      </c>
      <c r="C94" s="26" t="s">
        <v>3449</v>
      </c>
      <c r="D94" s="74" t="s">
        <v>3684</v>
      </c>
      <c r="E94" s="9" t="s">
        <v>3685</v>
      </c>
      <c r="F94" s="9" t="s">
        <v>1814</v>
      </c>
      <c r="G94" s="21" t="s">
        <v>776</v>
      </c>
      <c r="H94" s="21" t="str">
        <f t="array" ref="H94">INDEX('04_UC'!$G:$G,MATCH(G94,'04_UC'!$A:$A,0))</f>
        <v>Pha 1</v>
      </c>
    </row>
    <row r="95" ht="15.75" customHeight="1">
      <c r="A95" s="25" t="s">
        <v>3686</v>
      </c>
      <c r="B95" s="21" t="s">
        <v>131</v>
      </c>
      <c r="C95" s="28" t="s">
        <v>3428</v>
      </c>
      <c r="D95" s="74" t="s">
        <v>3687</v>
      </c>
      <c r="E95" s="9" t="s">
        <v>3688</v>
      </c>
      <c r="F95" s="9" t="s">
        <v>3516</v>
      </c>
      <c r="G95" s="21" t="s">
        <v>808</v>
      </c>
      <c r="H95" s="21" t="str">
        <f t="array" ref="H95">INDEX('04_UC'!$G:$G,MATCH(G95,'04_UC'!$A:$A,0))</f>
        <v>Pha 1</v>
      </c>
    </row>
    <row r="96" ht="15.75" customHeight="1">
      <c r="A96" s="25" t="s">
        <v>3689</v>
      </c>
      <c r="B96" s="21" t="s">
        <v>131</v>
      </c>
      <c r="C96" s="26" t="s">
        <v>3449</v>
      </c>
      <c r="D96" s="74" t="s">
        <v>3690</v>
      </c>
      <c r="E96" s="9" t="s">
        <v>3691</v>
      </c>
      <c r="F96" s="9" t="s">
        <v>1814</v>
      </c>
      <c r="G96" s="21" t="s">
        <v>2018</v>
      </c>
      <c r="H96" s="21" t="str">
        <f t="array" ref="H96">INDEX('04_UC'!$G:$G,MATCH(G96,'04_UC'!$A:$A,0))</f>
        <v>Pha 1</v>
      </c>
    </row>
    <row r="97" ht="15.75" customHeight="1">
      <c r="A97" s="25" t="s">
        <v>3692</v>
      </c>
      <c r="B97" s="21" t="s">
        <v>131</v>
      </c>
      <c r="C97" s="28" t="s">
        <v>3428</v>
      </c>
      <c r="D97" s="74" t="s">
        <v>3693</v>
      </c>
      <c r="E97" s="9" t="s">
        <v>3694</v>
      </c>
      <c r="F97" s="9" t="s">
        <v>3695</v>
      </c>
      <c r="G97" s="21" t="s">
        <v>2018</v>
      </c>
      <c r="H97" s="21" t="str">
        <f t="array" ref="H97">INDEX('04_UC'!$G:$G,MATCH(G97,'04_UC'!$A:$A,0))</f>
        <v>Pha 1</v>
      </c>
    </row>
    <row r="98" ht="15.75" customHeight="1">
      <c r="A98" s="25" t="s">
        <v>3696</v>
      </c>
      <c r="B98" s="21" t="s">
        <v>131</v>
      </c>
      <c r="C98" s="26" t="s">
        <v>3449</v>
      </c>
      <c r="D98" s="74" t="s">
        <v>3697</v>
      </c>
      <c r="E98" s="9" t="s">
        <v>3698</v>
      </c>
      <c r="F98" s="9" t="s">
        <v>3541</v>
      </c>
      <c r="G98" s="21" t="s">
        <v>817</v>
      </c>
      <c r="H98" s="21" t="str">
        <f t="array" ref="H98">INDEX('04_UC'!$G:$G,MATCH(G98,'04_UC'!$A:$A,0))</f>
        <v>Pha 1</v>
      </c>
    </row>
    <row r="99" ht="15.75" customHeight="1">
      <c r="A99" s="25" t="s">
        <v>3699</v>
      </c>
      <c r="B99" s="21" t="s">
        <v>131</v>
      </c>
      <c r="C99" s="28" t="s">
        <v>3428</v>
      </c>
      <c r="D99" s="74" t="s">
        <v>3697</v>
      </c>
      <c r="E99" s="9" t="s">
        <v>3700</v>
      </c>
      <c r="F99" s="9" t="s">
        <v>3541</v>
      </c>
      <c r="G99" s="21" t="s">
        <v>817</v>
      </c>
      <c r="H99" s="21" t="str">
        <f t="array" ref="H99">INDEX('04_UC'!$G:$G,MATCH(G99,'04_UC'!$A:$A,0))</f>
        <v>Pha 1</v>
      </c>
    </row>
    <row r="100" ht="15.75" customHeight="1">
      <c r="A100" s="25" t="s">
        <v>3701</v>
      </c>
      <c r="B100" s="21" t="s">
        <v>131</v>
      </c>
      <c r="C100" s="75" t="s">
        <v>3453</v>
      </c>
      <c r="D100" s="74" t="s">
        <v>3702</v>
      </c>
      <c r="E100" s="9" t="s">
        <v>3703</v>
      </c>
      <c r="F100" s="9" t="s">
        <v>3541</v>
      </c>
      <c r="G100" s="21" t="s">
        <v>817</v>
      </c>
      <c r="H100" s="21" t="str">
        <f t="array" ref="H100">INDEX('04_UC'!$G:$G,MATCH(G100,'04_UC'!$A:$A,0))</f>
        <v>Pha 1</v>
      </c>
    </row>
    <row r="101" ht="15.75" customHeight="1">
      <c r="A101" s="25" t="s">
        <v>3704</v>
      </c>
      <c r="B101" s="21" t="s">
        <v>131</v>
      </c>
      <c r="C101" s="28" t="s">
        <v>3428</v>
      </c>
      <c r="D101" s="74" t="s">
        <v>3705</v>
      </c>
      <c r="E101" s="9" t="s">
        <v>3706</v>
      </c>
      <c r="F101" s="9" t="s">
        <v>1814</v>
      </c>
      <c r="G101" s="21" t="s">
        <v>822</v>
      </c>
      <c r="H101" s="21" t="str">
        <f t="array" ref="H101">INDEX('04_UC'!$G:$G,MATCH(G101,'04_UC'!$A:$A,0))</f>
        <v>Pha 1</v>
      </c>
    </row>
    <row r="102" ht="15.75" customHeight="1">
      <c r="A102" s="25" t="s">
        <v>3707</v>
      </c>
      <c r="B102" s="21" t="s">
        <v>131</v>
      </c>
      <c r="C102" s="26" t="s">
        <v>3449</v>
      </c>
      <c r="D102" s="74" t="s">
        <v>3705</v>
      </c>
      <c r="E102" s="9" t="s">
        <v>3708</v>
      </c>
      <c r="F102" s="9" t="s">
        <v>1814</v>
      </c>
      <c r="G102" s="21" t="s">
        <v>822</v>
      </c>
      <c r="H102" s="21" t="str">
        <f t="array" ref="H102">INDEX('04_UC'!$G:$G,MATCH(G102,'04_UC'!$A:$A,0))</f>
        <v>Pha 1</v>
      </c>
    </row>
    <row r="103" ht="15.75" customHeight="1">
      <c r="A103" s="25" t="s">
        <v>3709</v>
      </c>
      <c r="B103" s="21" t="s">
        <v>131</v>
      </c>
      <c r="C103" s="28" t="s">
        <v>3428</v>
      </c>
      <c r="D103" s="74" t="s">
        <v>3710</v>
      </c>
      <c r="E103" s="9" t="s">
        <v>3711</v>
      </c>
      <c r="F103" s="9" t="s">
        <v>1814</v>
      </c>
      <c r="G103" s="21" t="s">
        <v>822</v>
      </c>
      <c r="H103" s="21" t="str">
        <f t="array" ref="H103">INDEX('04_UC'!$G:$G,MATCH(G103,'04_UC'!$A:$A,0))</f>
        <v>Pha 1</v>
      </c>
    </row>
    <row r="104" ht="15.75" customHeight="1">
      <c r="A104" s="25" t="s">
        <v>3712</v>
      </c>
      <c r="B104" s="21" t="s">
        <v>131</v>
      </c>
      <c r="C104" s="26" t="s">
        <v>3449</v>
      </c>
      <c r="D104" s="74" t="s">
        <v>3713</v>
      </c>
      <c r="E104" s="9" t="s">
        <v>3714</v>
      </c>
      <c r="F104" s="9" t="s">
        <v>3695</v>
      </c>
      <c r="G104" s="21" t="s">
        <v>342</v>
      </c>
      <c r="H104" s="21" t="str">
        <f t="array" ref="H104">INDEX('04_UC'!$G:$G,MATCH(G104,'04_UC'!$A:$A,0))</f>
        <v>Pha 1</v>
      </c>
    </row>
    <row r="105" ht="15.75" customHeight="1">
      <c r="A105" s="25" t="s">
        <v>3715</v>
      </c>
      <c r="B105" s="21" t="s">
        <v>131</v>
      </c>
      <c r="C105" s="28" t="s">
        <v>3428</v>
      </c>
      <c r="D105" s="74" t="s">
        <v>3716</v>
      </c>
      <c r="E105" s="9" t="s">
        <v>3717</v>
      </c>
      <c r="F105" s="9" t="s">
        <v>3695</v>
      </c>
      <c r="G105" s="21" t="s">
        <v>342</v>
      </c>
      <c r="H105" s="21" t="str">
        <f t="array" ref="H105">INDEX('04_UC'!$G:$G,MATCH(G105,'04_UC'!$A:$A,0))</f>
        <v>Pha 1</v>
      </c>
    </row>
    <row r="106" ht="15.75" customHeight="1">
      <c r="A106" s="25" t="s">
        <v>3718</v>
      </c>
      <c r="B106" s="21" t="s">
        <v>131</v>
      </c>
      <c r="C106" s="28" t="s">
        <v>3428</v>
      </c>
      <c r="D106" s="74" t="s">
        <v>3719</v>
      </c>
      <c r="E106" s="9" t="s">
        <v>3507</v>
      </c>
      <c r="F106" s="9" t="s">
        <v>3695</v>
      </c>
      <c r="G106" s="21" t="s">
        <v>342</v>
      </c>
      <c r="H106" s="21" t="str">
        <f t="array" ref="H106">INDEX('04_UC'!$G:$G,MATCH(G106,'04_UC'!$A:$A,0))</f>
        <v>Pha 1</v>
      </c>
    </row>
    <row r="107" ht="15.75" customHeight="1">
      <c r="A107" s="25" t="s">
        <v>3720</v>
      </c>
      <c r="B107" s="21" t="s">
        <v>131</v>
      </c>
      <c r="C107" s="28" t="s">
        <v>3428</v>
      </c>
      <c r="D107" s="74" t="s">
        <v>3721</v>
      </c>
      <c r="E107" s="9" t="s">
        <v>3722</v>
      </c>
      <c r="F107" s="9" t="s">
        <v>3695</v>
      </c>
      <c r="G107" s="21" t="s">
        <v>342</v>
      </c>
      <c r="H107" s="21" t="str">
        <f t="array" ref="H107">INDEX('04_UC'!$G:$G,MATCH(G107,'04_UC'!$A:$A,0))</f>
        <v>Pha 1</v>
      </c>
    </row>
    <row r="108" ht="15.75" customHeight="1">
      <c r="A108" s="25" t="s">
        <v>3723</v>
      </c>
      <c r="B108" s="21" t="s">
        <v>131</v>
      </c>
      <c r="C108" s="28" t="s">
        <v>3428</v>
      </c>
      <c r="D108" s="74" t="s">
        <v>3724</v>
      </c>
      <c r="E108" s="9" t="s">
        <v>833</v>
      </c>
      <c r="F108" s="9" t="s">
        <v>3695</v>
      </c>
      <c r="G108" s="21" t="s">
        <v>342</v>
      </c>
      <c r="H108" s="21" t="str">
        <f t="array" ref="H108">INDEX('04_UC'!$G:$G,MATCH(G108,'04_UC'!$A:$A,0))</f>
        <v>Pha 1</v>
      </c>
    </row>
    <row r="109" ht="15.75" customHeight="1">
      <c r="A109" s="25" t="s">
        <v>3725</v>
      </c>
      <c r="B109" s="21" t="s">
        <v>131</v>
      </c>
      <c r="C109" s="28" t="s">
        <v>3428</v>
      </c>
      <c r="D109" s="74" t="s">
        <v>3726</v>
      </c>
      <c r="E109" s="9" t="s">
        <v>3727</v>
      </c>
      <c r="F109" s="9" t="s">
        <v>3695</v>
      </c>
      <c r="G109" s="21" t="s">
        <v>342</v>
      </c>
      <c r="H109" s="21" t="str">
        <f t="array" ref="H109">INDEX('04_UC'!$G:$G,MATCH(G109,'04_UC'!$A:$A,0))</f>
        <v>Pha 1</v>
      </c>
    </row>
    <row r="110" ht="15.75" customHeight="1">
      <c r="A110" s="25" t="s">
        <v>3728</v>
      </c>
      <c r="B110" s="21" t="s">
        <v>131</v>
      </c>
      <c r="C110" s="26" t="s">
        <v>3449</v>
      </c>
      <c r="D110" s="74" t="s">
        <v>3729</v>
      </c>
      <c r="E110" s="9" t="s">
        <v>3730</v>
      </c>
      <c r="F110" s="9" t="s">
        <v>3695</v>
      </c>
      <c r="G110" s="21" t="s">
        <v>839</v>
      </c>
      <c r="H110" s="21" t="str">
        <f t="array" ref="H110">INDEX('04_UC'!$G:$G,MATCH(G110,'04_UC'!$A:$A,0))</f>
        <v>Pha 2</v>
      </c>
    </row>
    <row r="111" ht="15.75" customHeight="1">
      <c r="A111" s="25" t="s">
        <v>3731</v>
      </c>
      <c r="B111" s="21" t="s">
        <v>131</v>
      </c>
      <c r="C111" s="28" t="s">
        <v>3428</v>
      </c>
      <c r="D111" s="74" t="s">
        <v>3732</v>
      </c>
      <c r="E111" s="9" t="s">
        <v>3733</v>
      </c>
      <c r="F111" s="9" t="s">
        <v>3695</v>
      </c>
      <c r="G111" s="21" t="s">
        <v>839</v>
      </c>
      <c r="H111" s="21" t="str">
        <f t="array" ref="H111">INDEX('04_UC'!$G:$G,MATCH(G111,'04_UC'!$A:$A,0))</f>
        <v>Pha 2</v>
      </c>
    </row>
    <row r="112" ht="15.75" customHeight="1">
      <c r="A112" s="25" t="s">
        <v>3734</v>
      </c>
      <c r="B112" s="21" t="s">
        <v>131</v>
      </c>
      <c r="C112" s="28" t="s">
        <v>3428</v>
      </c>
      <c r="D112" s="74" t="s">
        <v>3735</v>
      </c>
      <c r="E112" s="9" t="s">
        <v>3736</v>
      </c>
      <c r="F112" s="9" t="s">
        <v>3695</v>
      </c>
      <c r="G112" s="21" t="s">
        <v>839</v>
      </c>
      <c r="H112" s="21" t="str">
        <f t="array" ref="H112">INDEX('04_UC'!$G:$G,MATCH(G112,'04_UC'!$A:$A,0))</f>
        <v>Pha 2</v>
      </c>
    </row>
    <row r="113" ht="15.75" customHeight="1">
      <c r="A113" s="25" t="s">
        <v>3737</v>
      </c>
      <c r="B113" s="21" t="s">
        <v>131</v>
      </c>
      <c r="C113" s="26" t="s">
        <v>3449</v>
      </c>
      <c r="D113" s="74" t="s">
        <v>3738</v>
      </c>
      <c r="E113" s="9" t="s">
        <v>3739</v>
      </c>
      <c r="F113" s="9" t="s">
        <v>3695</v>
      </c>
      <c r="G113" s="21" t="s">
        <v>839</v>
      </c>
      <c r="H113" s="21" t="str">
        <f t="array" ref="H113">INDEX('04_UC'!$G:$G,MATCH(G113,'04_UC'!$A:$A,0))</f>
        <v>Pha 2</v>
      </c>
    </row>
    <row r="114" ht="15.75" customHeight="1">
      <c r="A114" s="25" t="s">
        <v>3740</v>
      </c>
      <c r="B114" s="21" t="s">
        <v>133</v>
      </c>
      <c r="C114" s="28" t="s">
        <v>3428</v>
      </c>
      <c r="D114" s="74" t="s">
        <v>3741</v>
      </c>
      <c r="E114" s="9" t="s">
        <v>861</v>
      </c>
      <c r="F114" s="9" t="s">
        <v>3516</v>
      </c>
      <c r="G114" s="21" t="s">
        <v>406</v>
      </c>
      <c r="H114" s="21" t="str">
        <f t="array" ref="H114">INDEX('04_UC'!$G:$G,MATCH(G114,'04_UC'!$A:$A,0))</f>
        <v>Pha 3</v>
      </c>
    </row>
    <row r="115" ht="15.75" customHeight="1">
      <c r="A115" s="25" t="s">
        <v>3742</v>
      </c>
      <c r="B115" s="21" t="s">
        <v>133</v>
      </c>
      <c r="C115" s="26" t="s">
        <v>3449</v>
      </c>
      <c r="D115" s="74" t="s">
        <v>3743</v>
      </c>
      <c r="E115" s="9" t="s">
        <v>3744</v>
      </c>
      <c r="F115" s="9" t="s">
        <v>3695</v>
      </c>
      <c r="G115" s="21" t="s">
        <v>408</v>
      </c>
      <c r="H115" s="21" t="str">
        <f t="array" ref="H115">INDEX('04_UC'!$G:$G,MATCH(G115,'04_UC'!$A:$A,0))</f>
        <v>Pha 3</v>
      </c>
    </row>
    <row r="116" ht="15.75" customHeight="1">
      <c r="A116" s="25" t="s">
        <v>3745</v>
      </c>
      <c r="B116" s="21" t="s">
        <v>133</v>
      </c>
      <c r="C116" s="28" t="s">
        <v>3428</v>
      </c>
      <c r="D116" s="74" t="s">
        <v>3743</v>
      </c>
      <c r="E116" s="9" t="s">
        <v>3746</v>
      </c>
      <c r="F116" s="9" t="s">
        <v>3695</v>
      </c>
      <c r="G116" s="21" t="s">
        <v>408</v>
      </c>
      <c r="H116" s="21" t="str">
        <f t="array" ref="H116">INDEX('04_UC'!$G:$G,MATCH(G116,'04_UC'!$A:$A,0))</f>
        <v>Pha 3</v>
      </c>
    </row>
    <row r="117" ht="15.75" customHeight="1">
      <c r="A117" s="25" t="s">
        <v>3747</v>
      </c>
      <c r="B117" s="21" t="s">
        <v>133</v>
      </c>
      <c r="C117" s="29" t="s">
        <v>3468</v>
      </c>
      <c r="D117" s="74" t="s">
        <v>3748</v>
      </c>
      <c r="E117" s="9" t="s">
        <v>3749</v>
      </c>
      <c r="F117" s="9" t="s">
        <v>3695</v>
      </c>
      <c r="G117" s="21" t="s">
        <v>408</v>
      </c>
      <c r="H117" s="21" t="str">
        <f t="array" ref="H117">INDEX('04_UC'!$G:$G,MATCH(G117,'04_UC'!$A:$A,0))</f>
        <v>Pha 3</v>
      </c>
    </row>
    <row r="118" ht="15.75" customHeight="1">
      <c r="A118" s="25" t="s">
        <v>3750</v>
      </c>
      <c r="B118" s="21" t="s">
        <v>143</v>
      </c>
      <c r="C118" s="26" t="s">
        <v>3449</v>
      </c>
      <c r="D118" s="74" t="s">
        <v>3751</v>
      </c>
      <c r="E118" s="9" t="s">
        <v>3752</v>
      </c>
      <c r="F118" s="9" t="s">
        <v>3695</v>
      </c>
      <c r="G118" s="21" t="s">
        <v>410</v>
      </c>
      <c r="H118" s="21" t="str">
        <f t="array" ref="H118">INDEX('04_UC'!$G:$G,MATCH(G118,'04_UC'!$A:$A,0))</f>
        <v>Pha 1</v>
      </c>
    </row>
    <row r="119" ht="15.75" customHeight="1">
      <c r="A119" s="25" t="s">
        <v>3753</v>
      </c>
      <c r="B119" s="21" t="s">
        <v>143</v>
      </c>
      <c r="C119" s="29" t="s">
        <v>3468</v>
      </c>
      <c r="D119" s="74" t="s">
        <v>3754</v>
      </c>
      <c r="E119" s="9" t="s">
        <v>3755</v>
      </c>
      <c r="F119" s="9" t="s">
        <v>3695</v>
      </c>
      <c r="G119" s="21" t="s">
        <v>410</v>
      </c>
      <c r="H119" s="21" t="str">
        <f t="array" ref="H119">INDEX('04_UC'!$G:$G,MATCH(G119,'04_UC'!$A:$A,0))</f>
        <v>Pha 1</v>
      </c>
    </row>
    <row r="120" ht="15.75" customHeight="1">
      <c r="A120" s="25" t="s">
        <v>3756</v>
      </c>
      <c r="B120" s="21" t="s">
        <v>143</v>
      </c>
      <c r="C120" s="28" t="s">
        <v>3428</v>
      </c>
      <c r="D120" s="74" t="s">
        <v>3757</v>
      </c>
      <c r="E120" s="9" t="s">
        <v>3758</v>
      </c>
      <c r="F120" s="9" t="s">
        <v>3695</v>
      </c>
      <c r="G120" s="21" t="s">
        <v>410</v>
      </c>
      <c r="H120" s="21" t="str">
        <f t="array" ref="H120">INDEX('04_UC'!$G:$G,MATCH(G120,'04_UC'!$A:$A,0))</f>
        <v>Pha 1</v>
      </c>
    </row>
    <row r="121" ht="15.75" customHeight="1">
      <c r="A121" s="25" t="s">
        <v>3759</v>
      </c>
      <c r="B121" s="21" t="s">
        <v>135</v>
      </c>
      <c r="C121" s="28" t="s">
        <v>3428</v>
      </c>
      <c r="D121" s="74" t="s">
        <v>3760</v>
      </c>
      <c r="E121" s="9" t="s">
        <v>3761</v>
      </c>
      <c r="F121" s="9" t="s">
        <v>1814</v>
      </c>
      <c r="G121" s="21" t="s">
        <v>412</v>
      </c>
      <c r="H121" s="21" t="str">
        <f t="array" ref="H121">INDEX('04_UC'!$G:$G,MATCH(G121,'04_UC'!$A:$A,0))</f>
        <v>Pha 1</v>
      </c>
    </row>
    <row r="122" ht="15.75" customHeight="1">
      <c r="A122" s="25" t="s">
        <v>3762</v>
      </c>
      <c r="B122" s="21" t="s">
        <v>135</v>
      </c>
      <c r="C122" s="26" t="s">
        <v>3449</v>
      </c>
      <c r="D122" s="74" t="s">
        <v>3763</v>
      </c>
      <c r="E122" s="9" t="s">
        <v>3764</v>
      </c>
      <c r="F122" s="9" t="s">
        <v>1814</v>
      </c>
      <c r="G122" s="21" t="s">
        <v>414</v>
      </c>
      <c r="H122" s="21" t="str">
        <f t="array" ref="H122">INDEX('04_UC'!$G:$G,MATCH(G122,'04_UC'!$A:$A,0))</f>
        <v>Pha 1</v>
      </c>
    </row>
    <row r="123" ht="15.75" customHeight="1">
      <c r="A123" s="25" t="s">
        <v>3765</v>
      </c>
      <c r="B123" s="21" t="s">
        <v>135</v>
      </c>
      <c r="C123" s="26" t="s">
        <v>3449</v>
      </c>
      <c r="D123" s="74" t="s">
        <v>3766</v>
      </c>
      <c r="E123" s="9" t="s">
        <v>3767</v>
      </c>
      <c r="F123" s="9" t="s">
        <v>1814</v>
      </c>
      <c r="G123" s="21" t="s">
        <v>414</v>
      </c>
      <c r="H123" s="21" t="str">
        <f t="array" ref="H123">INDEX('04_UC'!$G:$G,MATCH(G123,'04_UC'!$A:$A,0))</f>
        <v>Pha 1</v>
      </c>
    </row>
    <row r="124" ht="15.75" customHeight="1">
      <c r="A124" s="25" t="s">
        <v>3768</v>
      </c>
      <c r="B124" s="21" t="s">
        <v>135</v>
      </c>
      <c r="C124" s="28" t="s">
        <v>3428</v>
      </c>
      <c r="D124" s="74" t="s">
        <v>3769</v>
      </c>
      <c r="E124" s="9" t="s">
        <v>886</v>
      </c>
      <c r="F124" s="9" t="s">
        <v>1814</v>
      </c>
      <c r="G124" s="21" t="s">
        <v>414</v>
      </c>
      <c r="H124" s="21" t="str">
        <f t="array" ref="H124">INDEX('04_UC'!$G:$G,MATCH(G124,'04_UC'!$A:$A,0))</f>
        <v>Pha 1</v>
      </c>
    </row>
    <row r="125" ht="15.75" customHeight="1">
      <c r="A125" s="25" t="s">
        <v>3770</v>
      </c>
      <c r="B125" s="21" t="s">
        <v>135</v>
      </c>
      <c r="C125" s="26" t="s">
        <v>3449</v>
      </c>
      <c r="D125" s="74" t="s">
        <v>3771</v>
      </c>
      <c r="E125" s="9" t="s">
        <v>3772</v>
      </c>
      <c r="F125" s="9" t="s">
        <v>3541</v>
      </c>
      <c r="G125" s="21" t="s">
        <v>883</v>
      </c>
      <c r="H125" s="21" t="str">
        <f t="array" ref="H125">INDEX('04_UC'!$G:$G,MATCH(G125,'04_UC'!$A:$A,0))</f>
        <v>Pha 1</v>
      </c>
    </row>
    <row r="126" ht="15.75" customHeight="1">
      <c r="A126" s="25" t="s">
        <v>3773</v>
      </c>
      <c r="B126" s="21" t="s">
        <v>137</v>
      </c>
      <c r="C126" s="28" t="s">
        <v>3428</v>
      </c>
      <c r="D126" s="74" t="s">
        <v>3774</v>
      </c>
      <c r="E126" s="9" t="s">
        <v>415</v>
      </c>
      <c r="F126" s="9" t="s">
        <v>1814</v>
      </c>
      <c r="G126" s="21" t="s">
        <v>416</v>
      </c>
      <c r="H126" s="21" t="str">
        <f t="array" ref="H126">INDEX('04_UC'!$G:$G,MATCH(G126,'04_UC'!$A:$A,0))</f>
        <v>Pha 1</v>
      </c>
    </row>
    <row r="127" ht="15.75" customHeight="1">
      <c r="A127" s="25" t="s">
        <v>3775</v>
      </c>
      <c r="B127" s="21" t="s">
        <v>137</v>
      </c>
      <c r="C127" s="26" t="s">
        <v>3449</v>
      </c>
      <c r="D127" s="74" t="s">
        <v>3776</v>
      </c>
      <c r="E127" s="9" t="s">
        <v>3777</v>
      </c>
      <c r="F127" s="9" t="s">
        <v>1814</v>
      </c>
      <c r="G127" s="21" t="s">
        <v>418</v>
      </c>
      <c r="H127" s="21" t="str">
        <f t="array" ref="H127">INDEX('04_UC'!$G:$G,MATCH(G127,'04_UC'!$A:$A,0))</f>
        <v>Pha 1</v>
      </c>
    </row>
    <row r="128" ht="15.75" customHeight="1">
      <c r="A128" s="25" t="s">
        <v>3778</v>
      </c>
      <c r="B128" s="21" t="s">
        <v>137</v>
      </c>
      <c r="C128" s="26" t="s">
        <v>3449</v>
      </c>
      <c r="D128" s="74" t="s">
        <v>3779</v>
      </c>
      <c r="E128" s="9" t="s">
        <v>3780</v>
      </c>
      <c r="F128" s="9" t="s">
        <v>1814</v>
      </c>
      <c r="G128" s="21" t="s">
        <v>418</v>
      </c>
      <c r="H128" s="21" t="str">
        <f t="array" ref="H128">INDEX('04_UC'!$G:$G,MATCH(G128,'04_UC'!$A:$A,0))</f>
        <v>Pha 1</v>
      </c>
    </row>
    <row r="129" ht="15.75" customHeight="1">
      <c r="A129" s="25" t="s">
        <v>3781</v>
      </c>
      <c r="B129" s="21" t="s">
        <v>137</v>
      </c>
      <c r="C129" s="28" t="s">
        <v>3428</v>
      </c>
      <c r="D129" s="74" t="s">
        <v>3782</v>
      </c>
      <c r="E129" s="9" t="s">
        <v>3783</v>
      </c>
      <c r="F129" s="9" t="s">
        <v>1814</v>
      </c>
      <c r="G129" s="21" t="s">
        <v>418</v>
      </c>
      <c r="H129" s="21" t="str">
        <f t="array" ref="H129">INDEX('04_UC'!$G:$G,MATCH(G129,'04_UC'!$A:$A,0))</f>
        <v>Pha 1</v>
      </c>
    </row>
    <row r="130" ht="15.75" customHeight="1">
      <c r="A130" s="25" t="s">
        <v>3784</v>
      </c>
      <c r="B130" s="21" t="s">
        <v>137</v>
      </c>
      <c r="C130" s="28" t="s">
        <v>3428</v>
      </c>
      <c r="D130" s="74" t="s">
        <v>3785</v>
      </c>
      <c r="E130" s="9" t="s">
        <v>3035</v>
      </c>
      <c r="F130" s="9" t="s">
        <v>3498</v>
      </c>
      <c r="G130" s="21" t="s">
        <v>418</v>
      </c>
      <c r="H130" s="21" t="str">
        <f t="array" ref="H130">INDEX('04_UC'!$G:$G,MATCH(G130,'04_UC'!$A:$A,0))</f>
        <v>Pha 1</v>
      </c>
    </row>
    <row r="131" ht="15.75" customHeight="1">
      <c r="A131" s="25" t="s">
        <v>3786</v>
      </c>
      <c r="B131" s="21" t="s">
        <v>137</v>
      </c>
      <c r="C131" s="28" t="s">
        <v>3428</v>
      </c>
      <c r="D131" s="74" t="s">
        <v>3787</v>
      </c>
      <c r="E131" s="9" t="s">
        <v>3788</v>
      </c>
      <c r="F131" s="9" t="s">
        <v>1814</v>
      </c>
      <c r="G131" s="21" t="s">
        <v>418</v>
      </c>
      <c r="H131" s="21" t="str">
        <f t="array" ref="H131">INDEX('04_UC'!$G:$G,MATCH(G131,'04_UC'!$A:$A,0))</f>
        <v>Pha 1</v>
      </c>
    </row>
    <row r="132" ht="15.75" customHeight="1">
      <c r="A132" s="25" t="s">
        <v>3789</v>
      </c>
      <c r="B132" s="21" t="s">
        <v>137</v>
      </c>
      <c r="C132" s="28" t="s">
        <v>3428</v>
      </c>
      <c r="D132" s="74" t="s">
        <v>3790</v>
      </c>
      <c r="E132" s="9" t="s">
        <v>3791</v>
      </c>
      <c r="F132" s="9" t="s">
        <v>3695</v>
      </c>
      <c r="G132" s="21" t="s">
        <v>420</v>
      </c>
      <c r="H132" s="21" t="str">
        <f t="array" ref="H132">INDEX('04_UC'!$G:$G,MATCH(G132,'04_UC'!$A:$A,0))</f>
        <v>Pha 1</v>
      </c>
    </row>
    <row r="133" ht="15.75" customHeight="1">
      <c r="A133" s="25" t="s">
        <v>3792</v>
      </c>
      <c r="B133" s="21" t="s">
        <v>137</v>
      </c>
      <c r="C133" s="26" t="s">
        <v>3449</v>
      </c>
      <c r="D133" s="74" t="s">
        <v>3793</v>
      </c>
      <c r="E133" s="9" t="s">
        <v>3794</v>
      </c>
      <c r="F133" s="9" t="s">
        <v>3695</v>
      </c>
      <c r="G133" s="21" t="s">
        <v>420</v>
      </c>
      <c r="H133" s="21" t="str">
        <f t="array" ref="H133">INDEX('04_UC'!$G:$G,MATCH(G133,'04_UC'!$A:$A,0))</f>
        <v>Pha 1</v>
      </c>
    </row>
    <row r="134" ht="15.75" customHeight="1">
      <c r="A134" s="25" t="s">
        <v>3795</v>
      </c>
      <c r="B134" s="21" t="s">
        <v>139</v>
      </c>
      <c r="C134" s="26" t="s">
        <v>3449</v>
      </c>
      <c r="D134" s="74" t="s">
        <v>3796</v>
      </c>
      <c r="E134" s="9" t="s">
        <v>3797</v>
      </c>
      <c r="F134" s="9" t="s">
        <v>1814</v>
      </c>
      <c r="G134" s="21" t="s">
        <v>422</v>
      </c>
      <c r="H134" s="21" t="str">
        <f t="array" ref="H134">INDEX('04_UC'!$G:$G,MATCH(G134,'04_UC'!$A:$A,0))</f>
        <v>Pha 1</v>
      </c>
    </row>
    <row r="135" ht="15.75" customHeight="1">
      <c r="A135" s="25" t="s">
        <v>3798</v>
      </c>
      <c r="B135" s="21" t="s">
        <v>139</v>
      </c>
      <c r="C135" s="28" t="s">
        <v>3428</v>
      </c>
      <c r="D135" s="74" t="s">
        <v>3799</v>
      </c>
      <c r="E135" s="9" t="s">
        <v>3800</v>
      </c>
      <c r="F135" s="9" t="s">
        <v>1814</v>
      </c>
      <c r="G135" s="21" t="s">
        <v>422</v>
      </c>
      <c r="H135" s="21" t="str">
        <f t="array" ref="H135">INDEX('04_UC'!$G:$G,MATCH(G135,'04_UC'!$A:$A,0))</f>
        <v>Pha 1</v>
      </c>
    </row>
    <row r="136" ht="15.75" customHeight="1">
      <c r="A136" s="25" t="s">
        <v>3801</v>
      </c>
      <c r="B136" s="21" t="s">
        <v>139</v>
      </c>
      <c r="C136" s="28" t="s">
        <v>3428</v>
      </c>
      <c r="D136" s="74" t="s">
        <v>3802</v>
      </c>
      <c r="E136" s="9" t="s">
        <v>3803</v>
      </c>
      <c r="F136" s="9" t="s">
        <v>1814</v>
      </c>
      <c r="G136" s="21" t="s">
        <v>422</v>
      </c>
      <c r="H136" s="21" t="str">
        <f t="array" ref="H136">INDEX('04_UC'!$G:$G,MATCH(G136,'04_UC'!$A:$A,0))</f>
        <v>Pha 1</v>
      </c>
    </row>
    <row r="137" ht="15.75" customHeight="1">
      <c r="A137" s="25" t="s">
        <v>3804</v>
      </c>
      <c r="B137" s="21" t="s">
        <v>139</v>
      </c>
      <c r="C137" s="26" t="s">
        <v>3449</v>
      </c>
      <c r="D137" s="74" t="s">
        <v>3805</v>
      </c>
      <c r="E137" s="9" t="s">
        <v>3806</v>
      </c>
      <c r="F137" s="9" t="s">
        <v>1814</v>
      </c>
      <c r="G137" s="21" t="s">
        <v>422</v>
      </c>
      <c r="H137" s="21" t="str">
        <f t="array" ref="H137">INDEX('04_UC'!$G:$G,MATCH(G137,'04_UC'!$A:$A,0))</f>
        <v>Pha 1</v>
      </c>
    </row>
    <row r="138" ht="15.75" customHeight="1">
      <c r="A138" s="25" t="s">
        <v>3807</v>
      </c>
      <c r="B138" s="21" t="s">
        <v>139</v>
      </c>
      <c r="C138" s="29" t="s">
        <v>3468</v>
      </c>
      <c r="D138" s="74" t="s">
        <v>3805</v>
      </c>
      <c r="E138" s="9" t="s">
        <v>3808</v>
      </c>
      <c r="F138" s="9" t="s">
        <v>1814</v>
      </c>
      <c r="G138" s="21" t="s">
        <v>422</v>
      </c>
      <c r="H138" s="21" t="str">
        <f t="array" ref="H138">INDEX('04_UC'!$G:$G,MATCH(G138,'04_UC'!$A:$A,0))</f>
        <v>Pha 1</v>
      </c>
    </row>
    <row r="139" ht="15.75" customHeight="1">
      <c r="A139" s="25" t="s">
        <v>3809</v>
      </c>
      <c r="B139" s="21" t="s">
        <v>139</v>
      </c>
      <c r="C139" s="28" t="s">
        <v>3428</v>
      </c>
      <c r="D139" s="74" t="s">
        <v>3810</v>
      </c>
      <c r="E139" s="9" t="s">
        <v>3811</v>
      </c>
      <c r="F139" s="9" t="s">
        <v>1814</v>
      </c>
      <c r="G139" s="21" t="s">
        <v>422</v>
      </c>
      <c r="H139" s="21" t="str">
        <f t="array" ref="H139">INDEX('04_UC'!$G:$G,MATCH(G139,'04_UC'!$A:$A,0))</f>
        <v>Pha 1</v>
      </c>
    </row>
    <row r="140" ht="15.75" customHeight="1">
      <c r="A140" s="25" t="s">
        <v>3812</v>
      </c>
      <c r="B140" s="21" t="s">
        <v>141</v>
      </c>
      <c r="C140" s="26" t="s">
        <v>3449</v>
      </c>
      <c r="D140" s="74" t="s">
        <v>3813</v>
      </c>
      <c r="E140" s="9" t="s">
        <v>3814</v>
      </c>
      <c r="F140" s="9" t="s">
        <v>3498</v>
      </c>
      <c r="G140" s="21" t="s">
        <v>425</v>
      </c>
      <c r="H140" s="21" t="str">
        <f t="array" ref="H140">INDEX('04_UC'!$G:$G,MATCH(G140,'04_UC'!$A:$A,0))</f>
        <v>Pha 1</v>
      </c>
    </row>
    <row r="141" ht="15.75" customHeight="1">
      <c r="A141" s="25" t="s">
        <v>3815</v>
      </c>
      <c r="B141" s="21" t="s">
        <v>141</v>
      </c>
      <c r="C141" s="28" t="s">
        <v>3428</v>
      </c>
      <c r="D141" s="74" t="s">
        <v>3816</v>
      </c>
      <c r="E141" s="9" t="s">
        <v>3817</v>
      </c>
      <c r="F141" s="9" t="s">
        <v>3498</v>
      </c>
      <c r="G141" s="21" t="s">
        <v>425</v>
      </c>
      <c r="H141" s="21" t="str">
        <f t="array" ref="H141">INDEX('04_UC'!$G:$G,MATCH(G141,'04_UC'!$A:$A,0))</f>
        <v>Pha 1</v>
      </c>
    </row>
    <row r="142" ht="15.75" customHeight="1">
      <c r="A142" s="25" t="s">
        <v>3818</v>
      </c>
      <c r="B142" s="21" t="s">
        <v>141</v>
      </c>
      <c r="C142" s="28" t="s">
        <v>3428</v>
      </c>
      <c r="D142" s="74" t="s">
        <v>3819</v>
      </c>
      <c r="E142" s="9" t="s">
        <v>3820</v>
      </c>
      <c r="F142" s="9" t="s">
        <v>3498</v>
      </c>
      <c r="G142" s="21" t="s">
        <v>425</v>
      </c>
      <c r="H142" s="21" t="str">
        <f t="array" ref="H142">INDEX('04_UC'!$G:$G,MATCH(G142,'04_UC'!$A:$A,0))</f>
        <v>Pha 1</v>
      </c>
    </row>
    <row r="143" ht="15.75" customHeight="1">
      <c r="A143" s="25" t="s">
        <v>3821</v>
      </c>
      <c r="B143" s="21" t="s">
        <v>141</v>
      </c>
      <c r="C143" s="28" t="s">
        <v>3428</v>
      </c>
      <c r="D143" s="74" t="s">
        <v>3822</v>
      </c>
      <c r="E143" s="9" t="s">
        <v>426</v>
      </c>
      <c r="F143" s="9" t="s">
        <v>1814</v>
      </c>
      <c r="G143" s="21" t="s">
        <v>427</v>
      </c>
      <c r="H143" s="21" t="str">
        <f t="array" ref="H143">INDEX('04_UC'!$G:$G,MATCH(G143,'04_UC'!$A:$A,0))</f>
        <v>Pha 1</v>
      </c>
    </row>
    <row r="144" ht="15.75" customHeight="1">
      <c r="A144" s="25" t="s">
        <v>3823</v>
      </c>
      <c r="B144" s="21" t="s">
        <v>141</v>
      </c>
      <c r="C144" s="26" t="s">
        <v>3449</v>
      </c>
      <c r="D144" s="74" t="s">
        <v>3824</v>
      </c>
      <c r="E144" s="9" t="s">
        <v>3825</v>
      </c>
      <c r="F144" s="9" t="s">
        <v>3498</v>
      </c>
      <c r="G144" s="21" t="s">
        <v>427</v>
      </c>
      <c r="H144" s="21" t="str">
        <f t="array" ref="H144">INDEX('04_UC'!$G:$G,MATCH(G144,'04_UC'!$A:$A,0))</f>
        <v>Pha 1</v>
      </c>
    </row>
    <row r="145" ht="15.75" customHeight="1">
      <c r="A145" s="25" t="s">
        <v>3826</v>
      </c>
      <c r="B145" s="21" t="s">
        <v>141</v>
      </c>
      <c r="C145" s="28" t="s">
        <v>3428</v>
      </c>
      <c r="D145" s="74" t="s">
        <v>3827</v>
      </c>
      <c r="E145" s="9" t="s">
        <v>3828</v>
      </c>
      <c r="F145" s="9" t="s">
        <v>3695</v>
      </c>
      <c r="G145" s="21" t="s">
        <v>429</v>
      </c>
      <c r="H145" s="21" t="str">
        <f t="array" ref="H145">INDEX('04_UC'!$G:$G,MATCH(G145,'04_UC'!$A:$A,0))</f>
        <v>Pha 1</v>
      </c>
    </row>
    <row r="146" ht="15.75" customHeight="1">
      <c r="A146" s="25" t="s">
        <v>3829</v>
      </c>
      <c r="B146" s="21" t="s">
        <v>141</v>
      </c>
      <c r="C146" s="28" t="s">
        <v>3428</v>
      </c>
      <c r="D146" s="74" t="s">
        <v>3830</v>
      </c>
      <c r="E146" s="9" t="s">
        <v>3831</v>
      </c>
      <c r="F146" s="9" t="s">
        <v>3695</v>
      </c>
      <c r="G146" s="21" t="s">
        <v>429</v>
      </c>
      <c r="H146" s="21" t="str">
        <f t="array" ref="H146">INDEX('04_UC'!$G:$G,MATCH(G146,'04_UC'!$A:$A,0))</f>
        <v>Pha 1</v>
      </c>
    </row>
    <row r="147" ht="15.75" customHeight="1">
      <c r="A147" s="25" t="s">
        <v>3832</v>
      </c>
      <c r="B147" s="21" t="s">
        <v>141</v>
      </c>
      <c r="C147" s="28" t="s">
        <v>3428</v>
      </c>
      <c r="D147" s="74" t="s">
        <v>3833</v>
      </c>
      <c r="E147" s="9" t="s">
        <v>3834</v>
      </c>
      <c r="F147" s="9" t="s">
        <v>3695</v>
      </c>
      <c r="G147" s="21" t="s">
        <v>429</v>
      </c>
      <c r="H147" s="21" t="str">
        <f t="array" ref="H147">INDEX('04_UC'!$G:$G,MATCH(G147,'04_UC'!$A:$A,0))</f>
        <v>Pha 1</v>
      </c>
    </row>
    <row r="148" ht="15.75" customHeight="1">
      <c r="A148" s="25" t="s">
        <v>3835</v>
      </c>
      <c r="B148" s="21" t="s">
        <v>143</v>
      </c>
      <c r="C148" s="26" t="s">
        <v>3449</v>
      </c>
      <c r="D148" s="74" t="s">
        <v>3836</v>
      </c>
      <c r="E148" s="9" t="s">
        <v>3837</v>
      </c>
      <c r="F148" s="9" t="s">
        <v>3695</v>
      </c>
      <c r="G148" s="21" t="s">
        <v>432</v>
      </c>
      <c r="H148" s="21" t="str">
        <f t="array" ref="H148">INDEX('04_UC'!$G:$G,MATCH(G148,'04_UC'!$A:$A,0))</f>
        <v>Pha 1</v>
      </c>
    </row>
    <row r="149" ht="15.75" customHeight="1">
      <c r="A149" s="25" t="s">
        <v>3838</v>
      </c>
      <c r="B149" s="21" t="s">
        <v>143</v>
      </c>
      <c r="C149" s="26" t="s">
        <v>3449</v>
      </c>
      <c r="D149" s="74" t="s">
        <v>3839</v>
      </c>
      <c r="E149" s="9" t="s">
        <v>3840</v>
      </c>
      <c r="F149" s="9" t="s">
        <v>3695</v>
      </c>
      <c r="G149" s="21" t="s">
        <v>432</v>
      </c>
      <c r="H149" s="21" t="str">
        <f t="array" ref="H149">INDEX('04_UC'!$G:$G,MATCH(G149,'04_UC'!$A:$A,0))</f>
        <v>Pha 1</v>
      </c>
    </row>
    <row r="150" ht="15.75" customHeight="1">
      <c r="A150" s="25" t="s">
        <v>3841</v>
      </c>
      <c r="B150" s="21" t="s">
        <v>143</v>
      </c>
      <c r="C150" s="29" t="s">
        <v>3468</v>
      </c>
      <c r="D150" s="74" t="s">
        <v>3842</v>
      </c>
      <c r="E150" s="9" t="s">
        <v>3843</v>
      </c>
      <c r="F150" s="9" t="s">
        <v>3695</v>
      </c>
      <c r="G150" s="21" t="s">
        <v>432</v>
      </c>
      <c r="H150" s="21" t="str">
        <f t="array" ref="H150">INDEX('04_UC'!$G:$G,MATCH(G150,'04_UC'!$A:$A,0))</f>
        <v>Pha 1</v>
      </c>
    </row>
    <row r="151" ht="15.75" customHeight="1">
      <c r="A151" s="25" t="s">
        <v>3844</v>
      </c>
      <c r="B151" s="21" t="s">
        <v>143</v>
      </c>
      <c r="C151" s="28" t="s">
        <v>3428</v>
      </c>
      <c r="D151" s="74" t="s">
        <v>3845</v>
      </c>
      <c r="E151" s="9" t="s">
        <v>3846</v>
      </c>
      <c r="F151" s="9" t="s">
        <v>3695</v>
      </c>
      <c r="G151" s="21" t="s">
        <v>432</v>
      </c>
      <c r="H151" s="21" t="str">
        <f t="array" ref="H151">INDEX('04_UC'!$G:$G,MATCH(G151,'04_UC'!$A:$A,0))</f>
        <v>Pha 1</v>
      </c>
    </row>
    <row r="152" ht="15.75" customHeight="1">
      <c r="A152" s="25" t="s">
        <v>3847</v>
      </c>
      <c r="B152" s="21" t="s">
        <v>143</v>
      </c>
      <c r="C152" s="26" t="s">
        <v>3449</v>
      </c>
      <c r="D152" s="74" t="s">
        <v>3848</v>
      </c>
      <c r="E152" s="9" t="s">
        <v>3849</v>
      </c>
      <c r="F152" s="9" t="s">
        <v>3695</v>
      </c>
      <c r="G152" s="21" t="s">
        <v>434</v>
      </c>
      <c r="H152" s="21" t="str">
        <f t="array" ref="H152">INDEX('04_UC'!$G:$G,MATCH(G152,'04_UC'!$A:$A,0))</f>
        <v>Pha 1</v>
      </c>
    </row>
    <row r="153" ht="15.75" customHeight="1">
      <c r="A153" s="25" t="s">
        <v>3850</v>
      </c>
      <c r="B153" s="21" t="s">
        <v>143</v>
      </c>
      <c r="C153" s="29" t="s">
        <v>3468</v>
      </c>
      <c r="D153" s="74" t="s">
        <v>3851</v>
      </c>
      <c r="E153" s="9" t="s">
        <v>3852</v>
      </c>
      <c r="F153" s="9" t="s">
        <v>3695</v>
      </c>
      <c r="G153" s="21" t="s">
        <v>434</v>
      </c>
      <c r="H153" s="21" t="str">
        <f t="array" ref="H153">INDEX('04_UC'!$G:$G,MATCH(G153,'04_UC'!$A:$A,0))</f>
        <v>Pha 1</v>
      </c>
    </row>
    <row r="154" ht="15.75" customHeight="1">
      <c r="A154" s="25" t="s">
        <v>3853</v>
      </c>
      <c r="B154" s="21" t="s">
        <v>143</v>
      </c>
      <c r="C154" s="29" t="s">
        <v>3468</v>
      </c>
      <c r="D154" s="74" t="s">
        <v>3854</v>
      </c>
      <c r="E154" s="9" t="s">
        <v>3855</v>
      </c>
      <c r="F154" s="9" t="s">
        <v>3695</v>
      </c>
      <c r="G154" s="21" t="s">
        <v>434</v>
      </c>
      <c r="H154" s="21" t="str">
        <f t="array" ref="H154">INDEX('04_UC'!$G:$G,MATCH(G154,'04_UC'!$A:$A,0))</f>
        <v>Pha 1</v>
      </c>
    </row>
    <row r="155" ht="15.75" customHeight="1">
      <c r="A155" s="25" t="s">
        <v>3856</v>
      </c>
      <c r="B155" s="21" t="s">
        <v>143</v>
      </c>
      <c r="C155" s="29" t="s">
        <v>3468</v>
      </c>
      <c r="D155" s="74" t="s">
        <v>3857</v>
      </c>
      <c r="E155" s="9" t="s">
        <v>3858</v>
      </c>
      <c r="F155" s="9" t="s">
        <v>3695</v>
      </c>
      <c r="G155" s="21" t="s">
        <v>434</v>
      </c>
      <c r="H155" s="21" t="str">
        <f t="array" ref="H155">INDEX('04_UC'!$G:$G,MATCH(G155,'04_UC'!$A:$A,0))</f>
        <v>Pha 1</v>
      </c>
    </row>
    <row r="156" ht="15.75" customHeight="1">
      <c r="A156" s="25" t="s">
        <v>3859</v>
      </c>
      <c r="B156" s="21" t="s">
        <v>143</v>
      </c>
      <c r="C156" s="29" t="s">
        <v>3468</v>
      </c>
      <c r="D156" s="74" t="s">
        <v>3860</v>
      </c>
      <c r="E156" s="9" t="s">
        <v>3861</v>
      </c>
      <c r="F156" s="9" t="s">
        <v>3695</v>
      </c>
      <c r="G156" s="21" t="s">
        <v>434</v>
      </c>
      <c r="H156" s="21" t="str">
        <f t="array" ref="H156">INDEX('04_UC'!$G:$G,MATCH(G156,'04_UC'!$A:$A,0))</f>
        <v>Pha 1</v>
      </c>
    </row>
    <row r="157" ht="15.75" customHeight="1">
      <c r="A157" s="25" t="s">
        <v>3862</v>
      </c>
      <c r="B157" s="21" t="s">
        <v>143</v>
      </c>
      <c r="C157" s="29" t="s">
        <v>3468</v>
      </c>
      <c r="D157" s="74" t="s">
        <v>3863</v>
      </c>
      <c r="E157" s="9" t="s">
        <v>3864</v>
      </c>
      <c r="F157" s="9" t="s">
        <v>3695</v>
      </c>
      <c r="G157" s="21" t="s">
        <v>434</v>
      </c>
      <c r="H157" s="21" t="str">
        <f t="array" ref="H157">INDEX('04_UC'!$G:$G,MATCH(G157,'04_UC'!$A:$A,0))</f>
        <v>Pha 1</v>
      </c>
    </row>
    <row r="158" ht="15.75" customHeight="1">
      <c r="A158" s="25" t="s">
        <v>3865</v>
      </c>
      <c r="B158" s="21" t="s">
        <v>143</v>
      </c>
      <c r="C158" s="26" t="s">
        <v>3449</v>
      </c>
      <c r="D158" s="74" t="s">
        <v>3866</v>
      </c>
      <c r="E158" s="9" t="s">
        <v>3867</v>
      </c>
      <c r="F158" s="9" t="s">
        <v>3695</v>
      </c>
      <c r="G158" s="21" t="s">
        <v>436</v>
      </c>
      <c r="H158" s="21" t="str">
        <f t="array" ref="H158">INDEX('04_UC'!$G:$G,MATCH(G158,'04_UC'!$A:$A,0))</f>
        <v>Pha 1</v>
      </c>
    </row>
    <row r="159" ht="15.75" customHeight="1">
      <c r="A159" s="25" t="s">
        <v>3868</v>
      </c>
      <c r="B159" s="21" t="s">
        <v>143</v>
      </c>
      <c r="C159" s="26" t="s">
        <v>3449</v>
      </c>
      <c r="D159" s="74" t="s">
        <v>3869</v>
      </c>
      <c r="E159" s="9" t="s">
        <v>3870</v>
      </c>
      <c r="F159" s="9" t="s">
        <v>3695</v>
      </c>
      <c r="G159" s="21" t="s">
        <v>436</v>
      </c>
      <c r="H159" s="21" t="str">
        <f t="array" ref="H159">INDEX('04_UC'!$G:$G,MATCH(G159,'04_UC'!$A:$A,0))</f>
        <v>Pha 1</v>
      </c>
    </row>
    <row r="160" ht="15.75" customHeight="1">
      <c r="A160" s="25" t="s">
        <v>3871</v>
      </c>
      <c r="B160" s="21" t="s">
        <v>143</v>
      </c>
      <c r="C160" s="26" t="s">
        <v>3449</v>
      </c>
      <c r="D160" s="74" t="s">
        <v>3872</v>
      </c>
      <c r="E160" s="9" t="s">
        <v>3873</v>
      </c>
      <c r="F160" s="9" t="s">
        <v>3695</v>
      </c>
      <c r="G160" s="21" t="s">
        <v>436</v>
      </c>
      <c r="H160" s="21" t="str">
        <f t="array" ref="H160">INDEX('04_UC'!$G:$G,MATCH(G160,'04_UC'!$A:$A,0))</f>
        <v>Pha 1</v>
      </c>
    </row>
    <row r="161" ht="15.75" customHeight="1">
      <c r="A161" s="25" t="s">
        <v>3874</v>
      </c>
      <c r="B161" s="21" t="s">
        <v>143</v>
      </c>
      <c r="C161" s="26" t="s">
        <v>3449</v>
      </c>
      <c r="D161" s="74" t="s">
        <v>3875</v>
      </c>
      <c r="E161" s="9" t="s">
        <v>3876</v>
      </c>
      <c r="F161" s="9" t="s">
        <v>3695</v>
      </c>
      <c r="G161" s="21" t="s">
        <v>438</v>
      </c>
      <c r="H161" s="21" t="str">
        <f t="array" ref="H161">INDEX('04_UC'!$G:$G,MATCH(G161,'04_UC'!$A:$A,0))</f>
        <v>Pha 2</v>
      </c>
    </row>
    <row r="162" ht="15.75" customHeight="1">
      <c r="A162" s="25" t="s">
        <v>3877</v>
      </c>
      <c r="B162" s="21" t="s">
        <v>145</v>
      </c>
      <c r="C162" s="26" t="s">
        <v>3449</v>
      </c>
      <c r="D162" s="74" t="s">
        <v>3878</v>
      </c>
      <c r="E162" s="9" t="s">
        <v>3879</v>
      </c>
      <c r="F162" s="9" t="s">
        <v>3541</v>
      </c>
      <c r="G162" s="21" t="s">
        <v>440</v>
      </c>
      <c r="H162" s="21" t="str">
        <f t="array" ref="H162">INDEX('04_UC'!$G:$G,MATCH(G162,'04_UC'!$A:$A,0))</f>
        <v>Pha 2</v>
      </c>
    </row>
    <row r="163" ht="15.75" customHeight="1">
      <c r="A163" s="25" t="s">
        <v>3880</v>
      </c>
      <c r="B163" s="21" t="s">
        <v>145</v>
      </c>
      <c r="C163" s="26" t="s">
        <v>3449</v>
      </c>
      <c r="D163" s="74" t="s">
        <v>3881</v>
      </c>
      <c r="E163" s="9" t="s">
        <v>3882</v>
      </c>
      <c r="F163" s="9" t="s">
        <v>3541</v>
      </c>
      <c r="G163" s="21" t="s">
        <v>440</v>
      </c>
      <c r="H163" s="21" t="str">
        <f t="array" ref="H163">INDEX('04_UC'!$G:$G,MATCH(G163,'04_UC'!$A:$A,0))</f>
        <v>Pha 2</v>
      </c>
    </row>
    <row r="164" ht="15.75" customHeight="1">
      <c r="A164" s="25" t="s">
        <v>3883</v>
      </c>
      <c r="B164" s="21" t="s">
        <v>145</v>
      </c>
      <c r="C164" s="26" t="s">
        <v>3449</v>
      </c>
      <c r="D164" s="74" t="s">
        <v>3884</v>
      </c>
      <c r="E164" s="9" t="s">
        <v>3885</v>
      </c>
      <c r="F164" s="9" t="s">
        <v>1814</v>
      </c>
      <c r="G164" s="21" t="s">
        <v>442</v>
      </c>
      <c r="H164" s="21" t="str">
        <f t="array" ref="H164">INDEX('04_UC'!$G:$G,MATCH(G164,'04_UC'!$A:$A,0))</f>
        <v>Pha 3</v>
      </c>
    </row>
    <row r="165" ht="15.75" customHeight="1">
      <c r="A165" s="25" t="s">
        <v>3886</v>
      </c>
      <c r="B165" s="21" t="s">
        <v>145</v>
      </c>
      <c r="C165" s="26" t="s">
        <v>3449</v>
      </c>
      <c r="D165" s="74" t="s">
        <v>3887</v>
      </c>
      <c r="E165" s="9" t="s">
        <v>3888</v>
      </c>
      <c r="F165" s="9" t="s">
        <v>1814</v>
      </c>
      <c r="G165" s="21" t="s">
        <v>442</v>
      </c>
      <c r="H165" s="21" t="str">
        <f t="array" ref="H165">INDEX('04_UC'!$G:$G,MATCH(G165,'04_UC'!$A:$A,0))</f>
        <v>Pha 3</v>
      </c>
    </row>
    <row r="166" ht="15.75" customHeight="1">
      <c r="A166" s="25" t="s">
        <v>3889</v>
      </c>
      <c r="B166" s="21" t="s">
        <v>143</v>
      </c>
      <c r="C166" s="26" t="s">
        <v>3449</v>
      </c>
      <c r="D166" s="74" t="s">
        <v>3890</v>
      </c>
      <c r="E166" s="9" t="s">
        <v>3891</v>
      </c>
      <c r="F166" s="9" t="s">
        <v>3695</v>
      </c>
      <c r="G166" s="21" t="s">
        <v>444</v>
      </c>
      <c r="H166" s="21" t="str">
        <f t="array" ref="H166">INDEX('04_UC'!$G:$G,MATCH(G166,'04_UC'!$A:$A,0))</f>
        <v>Pha 1</v>
      </c>
    </row>
    <row r="167" ht="15.75" customHeight="1">
      <c r="A167" s="25" t="s">
        <v>3892</v>
      </c>
      <c r="B167" s="21" t="s">
        <v>143</v>
      </c>
      <c r="C167" s="28" t="s">
        <v>3428</v>
      </c>
      <c r="D167" s="74" t="s">
        <v>3893</v>
      </c>
      <c r="E167" s="9" t="s">
        <v>3894</v>
      </c>
      <c r="F167" s="9" t="s">
        <v>3695</v>
      </c>
      <c r="G167" s="21" t="s">
        <v>444</v>
      </c>
      <c r="H167" s="21" t="str">
        <f t="array" ref="H167">INDEX('04_UC'!$G:$G,MATCH(G167,'04_UC'!$A:$A,0))</f>
        <v>Pha 1</v>
      </c>
    </row>
    <row r="168" ht="15.75" customHeight="1">
      <c r="A168" s="25" t="s">
        <v>3895</v>
      </c>
      <c r="B168" s="21" t="s">
        <v>147</v>
      </c>
      <c r="C168" s="26" t="s">
        <v>3449</v>
      </c>
      <c r="D168" s="74" t="s">
        <v>3896</v>
      </c>
      <c r="E168" s="9" t="s">
        <v>3897</v>
      </c>
      <c r="F168" s="9" t="s">
        <v>1814</v>
      </c>
      <c r="G168" s="21" t="s">
        <v>536</v>
      </c>
      <c r="H168" s="21" t="str">
        <f t="array" ref="H168">INDEX('04_UC'!$G:$G,MATCH(G168,'04_UC'!$A:$A,0))</f>
        <v>Pha 1</v>
      </c>
    </row>
    <row r="169" ht="15.75" customHeight="1">
      <c r="A169" s="25" t="s">
        <v>3898</v>
      </c>
      <c r="B169" s="21" t="s">
        <v>147</v>
      </c>
      <c r="C169" s="26" t="s">
        <v>3449</v>
      </c>
      <c r="D169" s="74" t="s">
        <v>3899</v>
      </c>
      <c r="E169" s="9" t="s">
        <v>3900</v>
      </c>
      <c r="F169" s="9" t="s">
        <v>1814</v>
      </c>
      <c r="G169" s="21" t="s">
        <v>354</v>
      </c>
      <c r="H169" s="21" t="str">
        <f t="array" ref="H169">INDEX('04_UC'!$G:$G,MATCH(G169,'04_UC'!$A:$A,0))</f>
        <v>Pha 1</v>
      </c>
    </row>
    <row r="170" ht="15.75" customHeight="1">
      <c r="A170" s="25" t="s">
        <v>3901</v>
      </c>
      <c r="B170" s="21" t="s">
        <v>147</v>
      </c>
      <c r="C170" s="28" t="s">
        <v>3428</v>
      </c>
      <c r="D170" s="74" t="s">
        <v>3902</v>
      </c>
      <c r="E170" s="9" t="s">
        <v>3903</v>
      </c>
      <c r="F170" s="9" t="s">
        <v>1814</v>
      </c>
      <c r="G170" s="21" t="s">
        <v>536</v>
      </c>
      <c r="H170" s="21" t="str">
        <f t="array" ref="H170">INDEX('04_UC'!$G:$G,MATCH(G170,'04_UC'!$A:$A,0))</f>
        <v>Pha 1</v>
      </c>
    </row>
    <row r="171" ht="15.75" customHeight="1">
      <c r="A171" s="25" t="s">
        <v>3904</v>
      </c>
      <c r="B171" s="21" t="s">
        <v>147</v>
      </c>
      <c r="C171" s="26" t="s">
        <v>3449</v>
      </c>
      <c r="D171" s="74" t="s">
        <v>3905</v>
      </c>
      <c r="E171" s="9" t="s">
        <v>3906</v>
      </c>
      <c r="F171" s="9" t="s">
        <v>3430</v>
      </c>
      <c r="G171" s="21" t="s">
        <v>444</v>
      </c>
      <c r="H171" s="21" t="str">
        <f t="array" ref="H171">INDEX('04_UC'!$G:$G,MATCH(G171,'04_UC'!$A:$A,0))</f>
        <v>Pha 1</v>
      </c>
    </row>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H$171"/>
  <printOptions/>
  <pageMargins bottom="1.0" footer="0.0" header="0.0" left="0.75" right="0.75" top="1.0"/>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6000"/>
    <pageSetUpPr fitToPage="1"/>
  </sheetPr>
  <sheetViews>
    <sheetView showGridLines="0"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9.0"/>
    <col customWidth="1" min="2" max="2" width="36.0"/>
    <col customWidth="1" min="3" max="3" width="30.0"/>
    <col customWidth="1" min="4" max="4" width="18.0"/>
    <col customWidth="1" min="5" max="5" width="22.0"/>
    <col customWidth="1" min="6" max="6" width="56.0"/>
    <col customWidth="1" min="7" max="7" width="9.0"/>
    <col customWidth="1" min="8" max="26" width="8.71"/>
  </cols>
  <sheetData>
    <row r="1" ht="25.5" customHeight="1">
      <c r="A1" s="1" t="s">
        <v>3907</v>
      </c>
    </row>
    <row r="2">
      <c r="A2" s="2" t="s">
        <v>3908</v>
      </c>
    </row>
    <row r="4" ht="33.75" customHeight="1">
      <c r="A4" s="8" t="s">
        <v>111</v>
      </c>
      <c r="B4" s="8" t="s">
        <v>3909</v>
      </c>
      <c r="C4" s="8" t="s">
        <v>3910</v>
      </c>
      <c r="D4" s="8" t="s">
        <v>3911</v>
      </c>
      <c r="E4" s="8" t="s">
        <v>453</v>
      </c>
      <c r="F4" s="8" t="s">
        <v>3912</v>
      </c>
      <c r="G4" s="8" t="s">
        <v>455</v>
      </c>
    </row>
    <row r="5">
      <c r="A5" s="25" t="s">
        <v>3913</v>
      </c>
      <c r="B5" s="9" t="s">
        <v>3914</v>
      </c>
      <c r="C5" s="74" t="s">
        <v>3915</v>
      </c>
      <c r="D5" s="9" t="s">
        <v>347</v>
      </c>
      <c r="E5" s="9" t="s">
        <v>354</v>
      </c>
      <c r="F5" s="9" t="s">
        <v>3916</v>
      </c>
      <c r="G5" s="21" t="s">
        <v>464</v>
      </c>
    </row>
    <row r="6">
      <c r="A6" s="25" t="s">
        <v>3917</v>
      </c>
      <c r="B6" s="9" t="s">
        <v>3918</v>
      </c>
      <c r="C6" s="74" t="s">
        <v>3919</v>
      </c>
      <c r="D6" s="9" t="s">
        <v>3920</v>
      </c>
      <c r="E6" s="9" t="s">
        <v>354</v>
      </c>
      <c r="F6" s="9" t="s">
        <v>3921</v>
      </c>
      <c r="G6" s="21" t="s">
        <v>464</v>
      </c>
    </row>
    <row r="7">
      <c r="A7" s="25" t="s">
        <v>1806</v>
      </c>
      <c r="B7" s="9" t="s">
        <v>3922</v>
      </c>
      <c r="C7" s="74" t="s">
        <v>3923</v>
      </c>
      <c r="D7" s="9" t="s">
        <v>347</v>
      </c>
      <c r="E7" s="9" t="s">
        <v>287</v>
      </c>
      <c r="F7" s="9" t="s">
        <v>3924</v>
      </c>
      <c r="G7" s="21" t="s">
        <v>464</v>
      </c>
    </row>
    <row r="8">
      <c r="A8" s="25" t="s">
        <v>1813</v>
      </c>
      <c r="B8" s="9" t="s">
        <v>469</v>
      </c>
      <c r="C8" s="74" t="s">
        <v>3925</v>
      </c>
      <c r="D8" s="9" t="s">
        <v>284</v>
      </c>
      <c r="E8" s="9" t="s">
        <v>471</v>
      </c>
      <c r="F8" s="9" t="s">
        <v>3926</v>
      </c>
      <c r="G8" s="21" t="s">
        <v>464</v>
      </c>
    </row>
    <row r="9">
      <c r="A9" s="25" t="s">
        <v>1820</v>
      </c>
      <c r="B9" s="9" t="s">
        <v>1814</v>
      </c>
      <c r="C9" s="74" t="s">
        <v>3927</v>
      </c>
      <c r="D9" s="9" t="s">
        <v>347</v>
      </c>
      <c r="E9" s="9" t="s">
        <v>476</v>
      </c>
      <c r="F9" s="9" t="s">
        <v>3928</v>
      </c>
      <c r="G9" s="21" t="s">
        <v>464</v>
      </c>
    </row>
    <row r="10">
      <c r="A10" s="25" t="s">
        <v>3929</v>
      </c>
      <c r="B10" s="9" t="s">
        <v>3930</v>
      </c>
      <c r="C10" s="74" t="s">
        <v>3931</v>
      </c>
      <c r="D10" s="9" t="s">
        <v>347</v>
      </c>
      <c r="E10" s="9" t="s">
        <v>493</v>
      </c>
      <c r="F10" s="9" t="s">
        <v>3932</v>
      </c>
      <c r="G10" s="21" t="s">
        <v>464</v>
      </c>
    </row>
    <row r="11">
      <c r="A11" s="25" t="s">
        <v>3933</v>
      </c>
      <c r="B11" s="9" t="s">
        <v>3934</v>
      </c>
      <c r="C11" s="74" t="s">
        <v>3935</v>
      </c>
      <c r="D11" s="9" t="s">
        <v>347</v>
      </c>
      <c r="E11" s="9" t="s">
        <v>493</v>
      </c>
      <c r="F11" s="9" t="s">
        <v>3936</v>
      </c>
      <c r="G11" s="21" t="s">
        <v>464</v>
      </c>
    </row>
    <row r="12">
      <c r="A12" s="25" t="s">
        <v>3937</v>
      </c>
      <c r="B12" s="9" t="s">
        <v>3938</v>
      </c>
      <c r="C12" s="74" t="s">
        <v>3939</v>
      </c>
      <c r="D12" s="9" t="s">
        <v>3940</v>
      </c>
      <c r="E12" s="9" t="s">
        <v>351</v>
      </c>
      <c r="F12" s="9" t="s">
        <v>3941</v>
      </c>
      <c r="G12" s="21" t="s">
        <v>464</v>
      </c>
    </row>
    <row r="13">
      <c r="A13" s="25" t="s">
        <v>3942</v>
      </c>
      <c r="B13" s="9" t="s">
        <v>3628</v>
      </c>
      <c r="C13" s="74" t="s">
        <v>3943</v>
      </c>
      <c r="D13" s="9" t="s">
        <v>253</v>
      </c>
      <c r="E13" s="9" t="s">
        <v>392</v>
      </c>
      <c r="F13" s="9" t="s">
        <v>3944</v>
      </c>
      <c r="G13" s="21" t="s">
        <v>464</v>
      </c>
    </row>
    <row r="14">
      <c r="A14" s="25" t="s">
        <v>3945</v>
      </c>
      <c r="B14" s="9" t="s">
        <v>3145</v>
      </c>
      <c r="C14" s="74" t="s">
        <v>3469</v>
      </c>
      <c r="D14" s="9" t="s">
        <v>284</v>
      </c>
      <c r="E14" s="9" t="s">
        <v>360</v>
      </c>
      <c r="F14" s="9" t="s">
        <v>3946</v>
      </c>
      <c r="G14" s="21" t="s">
        <v>464</v>
      </c>
    </row>
    <row r="15">
      <c r="A15" s="25" t="s">
        <v>3947</v>
      </c>
      <c r="B15" s="9" t="s">
        <v>505</v>
      </c>
      <c r="C15" s="74" t="s">
        <v>3476</v>
      </c>
      <c r="D15" s="9" t="s">
        <v>284</v>
      </c>
      <c r="E15" s="9" t="s">
        <v>360</v>
      </c>
      <c r="F15" s="9" t="s">
        <v>3948</v>
      </c>
      <c r="G15" s="21" t="s">
        <v>464</v>
      </c>
    </row>
    <row r="16">
      <c r="A16" s="25" t="s">
        <v>1827</v>
      </c>
      <c r="B16" s="9" t="s">
        <v>3949</v>
      </c>
      <c r="C16" s="74" t="s">
        <v>3950</v>
      </c>
      <c r="D16" s="9" t="s">
        <v>284</v>
      </c>
      <c r="E16" s="9" t="s">
        <v>3951</v>
      </c>
      <c r="F16" s="9" t="s">
        <v>3952</v>
      </c>
      <c r="G16" s="21" t="s">
        <v>464</v>
      </c>
    </row>
    <row r="17">
      <c r="A17" s="25" t="s">
        <v>1850</v>
      </c>
      <c r="B17" s="9" t="s">
        <v>3953</v>
      </c>
      <c r="C17" s="74" t="s">
        <v>3492</v>
      </c>
      <c r="D17" s="9" t="s">
        <v>284</v>
      </c>
      <c r="E17" s="9" t="s">
        <v>363</v>
      </c>
      <c r="F17" s="9" t="s">
        <v>3954</v>
      </c>
      <c r="G17" s="21" t="s">
        <v>464</v>
      </c>
    </row>
    <row r="18">
      <c r="A18" s="25" t="s">
        <v>1863</v>
      </c>
      <c r="B18" s="9" t="s">
        <v>366</v>
      </c>
      <c r="C18" s="74" t="s">
        <v>3955</v>
      </c>
      <c r="D18" s="9" t="s">
        <v>215</v>
      </c>
      <c r="E18" s="9" t="s">
        <v>367</v>
      </c>
      <c r="F18" s="9" t="s">
        <v>3956</v>
      </c>
      <c r="G18" s="21" t="s">
        <v>464</v>
      </c>
    </row>
    <row r="19">
      <c r="A19" s="25" t="s">
        <v>2099</v>
      </c>
      <c r="B19" s="9" t="s">
        <v>3764</v>
      </c>
      <c r="C19" s="74" t="s">
        <v>3957</v>
      </c>
      <c r="D19" s="9" t="s">
        <v>284</v>
      </c>
      <c r="E19" s="9" t="s">
        <v>414</v>
      </c>
      <c r="F19" s="9" t="s">
        <v>3958</v>
      </c>
      <c r="G19" s="21" t="s">
        <v>464</v>
      </c>
    </row>
    <row r="20">
      <c r="A20" s="25" t="s">
        <v>3959</v>
      </c>
      <c r="B20" s="9" t="s">
        <v>3960</v>
      </c>
      <c r="C20" s="74" t="s">
        <v>3961</v>
      </c>
      <c r="D20" s="9" t="s">
        <v>215</v>
      </c>
      <c r="E20" s="9" t="s">
        <v>373</v>
      </c>
      <c r="F20" s="9" t="s">
        <v>3962</v>
      </c>
      <c r="G20" s="21" t="s">
        <v>464</v>
      </c>
    </row>
    <row r="21" ht="15.75" customHeight="1">
      <c r="A21" s="25" t="s">
        <v>1878</v>
      </c>
      <c r="B21" s="9" t="s">
        <v>3963</v>
      </c>
      <c r="C21" s="74" t="s">
        <v>3964</v>
      </c>
      <c r="D21" s="9" t="s">
        <v>215</v>
      </c>
      <c r="E21" s="9" t="s">
        <v>531</v>
      </c>
      <c r="F21" s="9" t="s">
        <v>3965</v>
      </c>
      <c r="G21" s="21" t="s">
        <v>464</v>
      </c>
    </row>
    <row r="22" ht="15.75" customHeight="1">
      <c r="A22" s="25" t="s">
        <v>3966</v>
      </c>
      <c r="B22" s="9" t="s">
        <v>560</v>
      </c>
      <c r="C22" s="74" t="s">
        <v>3514</v>
      </c>
      <c r="D22" s="9" t="s">
        <v>284</v>
      </c>
      <c r="E22" s="9" t="s">
        <v>373</v>
      </c>
      <c r="F22" s="9" t="s">
        <v>3967</v>
      </c>
      <c r="G22" s="21" t="s">
        <v>464</v>
      </c>
    </row>
    <row r="23" ht="15.75" customHeight="1">
      <c r="A23" s="25" t="s">
        <v>3968</v>
      </c>
      <c r="B23" s="9" t="s">
        <v>3530</v>
      </c>
      <c r="C23" s="74" t="s">
        <v>3969</v>
      </c>
      <c r="D23" s="9" t="s">
        <v>284</v>
      </c>
      <c r="E23" s="9" t="s">
        <v>373</v>
      </c>
      <c r="F23" s="9" t="s">
        <v>3970</v>
      </c>
      <c r="G23" s="21" t="s">
        <v>464</v>
      </c>
    </row>
    <row r="24" ht="15.75" customHeight="1">
      <c r="A24" s="25" t="s">
        <v>1890</v>
      </c>
      <c r="B24" s="9" t="s">
        <v>569</v>
      </c>
      <c r="C24" s="74" t="s">
        <v>3971</v>
      </c>
      <c r="D24" s="9" t="s">
        <v>215</v>
      </c>
      <c r="E24" s="9" t="s">
        <v>571</v>
      </c>
      <c r="F24" s="9" t="s">
        <v>3972</v>
      </c>
      <c r="G24" s="21" t="s">
        <v>464</v>
      </c>
    </row>
    <row r="25" ht="15.75" customHeight="1">
      <c r="A25" s="25" t="s">
        <v>1921</v>
      </c>
      <c r="B25" s="9" t="s">
        <v>3973</v>
      </c>
      <c r="C25" s="74" t="s">
        <v>3974</v>
      </c>
      <c r="D25" s="9" t="s">
        <v>215</v>
      </c>
      <c r="E25" s="9" t="s">
        <v>610</v>
      </c>
      <c r="F25" s="9" t="s">
        <v>3975</v>
      </c>
      <c r="G25" s="21" t="s">
        <v>464</v>
      </c>
    </row>
    <row r="26" ht="15.75" customHeight="1">
      <c r="A26" s="25" t="s">
        <v>2075</v>
      </c>
      <c r="B26" s="9" t="s">
        <v>3976</v>
      </c>
      <c r="C26" s="74" t="s">
        <v>3977</v>
      </c>
      <c r="D26" s="9" t="s">
        <v>215</v>
      </c>
      <c r="E26" s="9" t="s">
        <v>3978</v>
      </c>
      <c r="F26" s="9" t="s">
        <v>3979</v>
      </c>
      <c r="G26" s="21" t="s">
        <v>464</v>
      </c>
    </row>
    <row r="27" ht="15.75" customHeight="1">
      <c r="A27" s="25" t="s">
        <v>3980</v>
      </c>
      <c r="B27" s="9" t="s">
        <v>3981</v>
      </c>
      <c r="C27" s="74" t="s">
        <v>3982</v>
      </c>
      <c r="D27" s="9" t="s">
        <v>215</v>
      </c>
      <c r="E27" s="9" t="s">
        <v>392</v>
      </c>
      <c r="F27" s="9" t="s">
        <v>3983</v>
      </c>
      <c r="G27" s="21" t="s">
        <v>464</v>
      </c>
    </row>
    <row r="28" ht="15.75" customHeight="1">
      <c r="A28" s="25" t="s">
        <v>3984</v>
      </c>
      <c r="B28" s="9" t="s">
        <v>3985</v>
      </c>
      <c r="C28" s="74" t="s">
        <v>3986</v>
      </c>
      <c r="D28" s="9" t="s">
        <v>215</v>
      </c>
      <c r="E28" s="9" t="s">
        <v>3987</v>
      </c>
      <c r="F28" s="9" t="s">
        <v>3988</v>
      </c>
      <c r="G28" s="21" t="s">
        <v>464</v>
      </c>
    </row>
    <row r="29" ht="15.75" customHeight="1">
      <c r="A29" s="25" t="s">
        <v>2094</v>
      </c>
      <c r="B29" s="9" t="s">
        <v>3329</v>
      </c>
      <c r="C29" s="74" t="s">
        <v>3989</v>
      </c>
      <c r="D29" s="9" t="s">
        <v>284</v>
      </c>
      <c r="E29" s="9" t="s">
        <v>412</v>
      </c>
      <c r="F29" s="9" t="s">
        <v>3990</v>
      </c>
      <c r="G29" s="21" t="s">
        <v>464</v>
      </c>
    </row>
    <row r="30" ht="15.75" customHeight="1">
      <c r="A30" s="25" t="s">
        <v>2111</v>
      </c>
      <c r="B30" s="9" t="s">
        <v>2938</v>
      </c>
      <c r="C30" s="74" t="s">
        <v>3991</v>
      </c>
      <c r="D30" s="9" t="s">
        <v>284</v>
      </c>
      <c r="E30" s="9" t="s">
        <v>416</v>
      </c>
      <c r="F30" s="9" t="s">
        <v>3992</v>
      </c>
      <c r="G30" s="21" t="s">
        <v>464</v>
      </c>
    </row>
    <row r="31" ht="15.75" customHeight="1">
      <c r="A31" s="25" t="s">
        <v>3993</v>
      </c>
      <c r="B31" s="9" t="s">
        <v>3994</v>
      </c>
      <c r="C31" s="74" t="s">
        <v>3995</v>
      </c>
      <c r="D31" s="9" t="s">
        <v>251</v>
      </c>
      <c r="E31" s="9" t="s">
        <v>440</v>
      </c>
      <c r="F31" s="9" t="s">
        <v>3996</v>
      </c>
      <c r="G31" s="21" t="s">
        <v>464</v>
      </c>
    </row>
    <row r="32" ht="15.75" customHeight="1">
      <c r="A32" s="25" t="s">
        <v>3997</v>
      </c>
      <c r="B32" s="9" t="s">
        <v>3998</v>
      </c>
      <c r="C32" s="74" t="s">
        <v>3999</v>
      </c>
      <c r="D32" s="9" t="s">
        <v>251</v>
      </c>
      <c r="E32" s="9" t="s">
        <v>375</v>
      </c>
      <c r="F32" s="9" t="s">
        <v>4000</v>
      </c>
      <c r="G32" s="21" t="s">
        <v>464</v>
      </c>
    </row>
    <row r="33" ht="15.75" customHeight="1">
      <c r="A33" s="25" t="s">
        <v>4001</v>
      </c>
      <c r="B33" s="9" t="s">
        <v>4002</v>
      </c>
      <c r="C33" s="74" t="s">
        <v>4003</v>
      </c>
      <c r="D33" s="9" t="s">
        <v>251</v>
      </c>
      <c r="E33" s="9" t="s">
        <v>375</v>
      </c>
      <c r="F33" s="9" t="s">
        <v>4004</v>
      </c>
      <c r="G33" s="21" t="s">
        <v>557</v>
      </c>
    </row>
    <row r="34" ht="15.75" customHeight="1">
      <c r="A34" s="25" t="s">
        <v>1909</v>
      </c>
      <c r="B34" s="9" t="s">
        <v>4005</v>
      </c>
      <c r="C34" s="74" t="s">
        <v>4006</v>
      </c>
      <c r="D34" s="9" t="s">
        <v>251</v>
      </c>
      <c r="E34" s="9" t="s">
        <v>377</v>
      </c>
      <c r="F34" s="9" t="s">
        <v>4007</v>
      </c>
      <c r="G34" s="21" t="s">
        <v>464</v>
      </c>
    </row>
    <row r="35" ht="15.75" customHeight="1">
      <c r="A35" s="25" t="s">
        <v>4008</v>
      </c>
      <c r="B35" s="9" t="s">
        <v>4009</v>
      </c>
      <c r="C35" s="74" t="s">
        <v>4010</v>
      </c>
      <c r="D35" s="9" t="s">
        <v>251</v>
      </c>
      <c r="E35" s="9" t="s">
        <v>373</v>
      </c>
      <c r="F35" s="9" t="s">
        <v>4011</v>
      </c>
      <c r="G35" s="21" t="s">
        <v>464</v>
      </c>
    </row>
    <row r="36" ht="15.75" customHeight="1">
      <c r="A36" s="25" t="s">
        <v>1964</v>
      </c>
      <c r="B36" s="9" t="s">
        <v>4012</v>
      </c>
      <c r="C36" s="74" t="s">
        <v>4013</v>
      </c>
      <c r="D36" s="9" t="s">
        <v>251</v>
      </c>
      <c r="E36" s="9" t="s">
        <v>4014</v>
      </c>
      <c r="F36" s="9" t="s">
        <v>4015</v>
      </c>
      <c r="G36" s="21" t="s">
        <v>464</v>
      </c>
    </row>
    <row r="37" ht="15.75" customHeight="1">
      <c r="A37" s="25" t="s">
        <v>1939</v>
      </c>
      <c r="B37" s="9" t="s">
        <v>626</v>
      </c>
      <c r="C37" s="74" t="s">
        <v>4016</v>
      </c>
      <c r="D37" s="9" t="s">
        <v>251</v>
      </c>
      <c r="E37" s="9" t="s">
        <v>628</v>
      </c>
      <c r="F37" s="9" t="s">
        <v>4017</v>
      </c>
      <c r="G37" s="21" t="s">
        <v>557</v>
      </c>
    </row>
    <row r="38" ht="15.75" customHeight="1">
      <c r="A38" s="25" t="s">
        <v>1934</v>
      </c>
      <c r="B38" s="9" t="s">
        <v>4018</v>
      </c>
      <c r="C38" s="74" t="s">
        <v>4019</v>
      </c>
      <c r="D38" s="9" t="s">
        <v>251</v>
      </c>
      <c r="E38" s="9" t="s">
        <v>4020</v>
      </c>
      <c r="F38" s="9" t="s">
        <v>4021</v>
      </c>
      <c r="G38" s="21" t="s">
        <v>557</v>
      </c>
    </row>
    <row r="39" ht="15.75" customHeight="1">
      <c r="A39" s="25" t="s">
        <v>4022</v>
      </c>
      <c r="B39" s="9" t="s">
        <v>4023</v>
      </c>
      <c r="C39" s="74" t="s">
        <v>4024</v>
      </c>
      <c r="D39" s="9" t="s">
        <v>251</v>
      </c>
      <c r="E39" s="9" t="s">
        <v>440</v>
      </c>
      <c r="F39" s="9" t="s">
        <v>4025</v>
      </c>
      <c r="G39" s="21" t="s">
        <v>557</v>
      </c>
    </row>
    <row r="40" ht="15.75" customHeight="1">
      <c r="A40" s="25" t="s">
        <v>1994</v>
      </c>
      <c r="B40" s="9" t="s">
        <v>4026</v>
      </c>
      <c r="C40" s="74" t="s">
        <v>4027</v>
      </c>
      <c r="D40" s="9" t="s">
        <v>251</v>
      </c>
      <c r="E40" s="9" t="s">
        <v>723</v>
      </c>
      <c r="F40" s="9" t="s">
        <v>4028</v>
      </c>
      <c r="G40" s="21" t="s">
        <v>483</v>
      </c>
    </row>
    <row r="41" ht="15.75" customHeight="1">
      <c r="A41" s="25" t="s">
        <v>2179</v>
      </c>
      <c r="B41" s="9" t="s">
        <v>4029</v>
      </c>
      <c r="C41" s="74" t="s">
        <v>4030</v>
      </c>
      <c r="D41" s="9" t="s">
        <v>284</v>
      </c>
      <c r="E41" s="9" t="s">
        <v>442</v>
      </c>
      <c r="F41" s="9" t="s">
        <v>4031</v>
      </c>
      <c r="G41" s="21" t="s">
        <v>483</v>
      </c>
    </row>
    <row r="42" ht="15.75" customHeight="1">
      <c r="A42" s="25" t="s">
        <v>1950</v>
      </c>
      <c r="B42" s="9" t="s">
        <v>384</v>
      </c>
      <c r="C42" s="74" t="s">
        <v>4032</v>
      </c>
      <c r="D42" s="9" t="s">
        <v>284</v>
      </c>
      <c r="E42" s="9" t="s">
        <v>385</v>
      </c>
      <c r="F42" s="9" t="s">
        <v>4033</v>
      </c>
      <c r="G42" s="21" t="s">
        <v>464</v>
      </c>
    </row>
    <row r="43" ht="15.75" customHeight="1">
      <c r="A43" s="25" t="s">
        <v>4034</v>
      </c>
      <c r="B43" s="9" t="s">
        <v>4035</v>
      </c>
      <c r="C43" s="74" t="s">
        <v>3796</v>
      </c>
      <c r="D43" s="9" t="s">
        <v>284</v>
      </c>
      <c r="E43" s="9" t="s">
        <v>422</v>
      </c>
      <c r="F43" s="9" t="s">
        <v>4036</v>
      </c>
      <c r="G43" s="21" t="s">
        <v>464</v>
      </c>
    </row>
    <row r="44" ht="15.75" customHeight="1">
      <c r="A44" s="25" t="s">
        <v>4037</v>
      </c>
      <c r="B44" s="9" t="s">
        <v>933</v>
      </c>
      <c r="C44" s="74" t="s">
        <v>4038</v>
      </c>
      <c r="D44" s="9" t="s">
        <v>284</v>
      </c>
      <c r="E44" s="9" t="s">
        <v>422</v>
      </c>
      <c r="F44" s="9" t="s">
        <v>4039</v>
      </c>
      <c r="G44" s="21" t="s">
        <v>557</v>
      </c>
    </row>
    <row r="45" ht="15.75" customHeight="1">
      <c r="A45" s="25" t="s">
        <v>4040</v>
      </c>
      <c r="B45" s="9" t="s">
        <v>4041</v>
      </c>
      <c r="C45" s="74" t="s">
        <v>3678</v>
      </c>
      <c r="D45" s="9" t="s">
        <v>284</v>
      </c>
      <c r="E45" s="9" t="s">
        <v>776</v>
      </c>
      <c r="F45" s="9" t="s">
        <v>4042</v>
      </c>
      <c r="G45" s="21" t="s">
        <v>464</v>
      </c>
    </row>
    <row r="46" ht="15.75" customHeight="1">
      <c r="A46" s="25" t="s">
        <v>4043</v>
      </c>
      <c r="B46" s="9" t="s">
        <v>4044</v>
      </c>
      <c r="C46" s="74" t="s">
        <v>4045</v>
      </c>
      <c r="D46" s="9" t="s">
        <v>284</v>
      </c>
      <c r="E46" s="9" t="s">
        <v>752</v>
      </c>
      <c r="F46" s="9" t="s">
        <v>4046</v>
      </c>
      <c r="G46" s="21" t="s">
        <v>464</v>
      </c>
    </row>
    <row r="47" ht="15.75" customHeight="1">
      <c r="A47" s="25" t="s">
        <v>4047</v>
      </c>
      <c r="B47" s="9" t="s">
        <v>4048</v>
      </c>
      <c r="C47" s="74" t="s">
        <v>4049</v>
      </c>
      <c r="D47" s="9" t="s">
        <v>284</v>
      </c>
      <c r="E47" s="9" t="s">
        <v>757</v>
      </c>
      <c r="F47" s="9" t="s">
        <v>4050</v>
      </c>
      <c r="G47" s="21" t="s">
        <v>464</v>
      </c>
    </row>
    <row r="48" ht="15.75" customHeight="1">
      <c r="A48" s="25" t="s">
        <v>4051</v>
      </c>
      <c r="B48" s="9" t="s">
        <v>4052</v>
      </c>
      <c r="C48" s="74" t="s">
        <v>4053</v>
      </c>
      <c r="D48" s="9" t="s">
        <v>284</v>
      </c>
      <c r="E48" s="9" t="s">
        <v>776</v>
      </c>
      <c r="F48" s="9" t="s">
        <v>4054</v>
      </c>
      <c r="G48" s="21" t="s">
        <v>464</v>
      </c>
    </row>
    <row r="49" ht="15.75" customHeight="1">
      <c r="A49" s="25" t="s">
        <v>2042</v>
      </c>
      <c r="B49" s="9" t="s">
        <v>4055</v>
      </c>
      <c r="C49" s="74" t="s">
        <v>4056</v>
      </c>
      <c r="D49" s="9" t="s">
        <v>251</v>
      </c>
      <c r="E49" s="9" t="s">
        <v>817</v>
      </c>
      <c r="F49" s="9" t="s">
        <v>4057</v>
      </c>
      <c r="G49" s="21" t="s">
        <v>464</v>
      </c>
    </row>
    <row r="50" ht="15.75" customHeight="1">
      <c r="A50" s="25" t="s">
        <v>2048</v>
      </c>
      <c r="B50" s="9" t="s">
        <v>4058</v>
      </c>
      <c r="C50" s="74" t="s">
        <v>4059</v>
      </c>
      <c r="D50" s="9" t="s">
        <v>251</v>
      </c>
      <c r="E50" s="9" t="s">
        <v>822</v>
      </c>
      <c r="F50" s="9" t="s">
        <v>4060</v>
      </c>
      <c r="G50" s="21" t="s">
        <v>464</v>
      </c>
    </row>
    <row r="51" ht="15.75" customHeight="1">
      <c r="A51" s="25" t="s">
        <v>4061</v>
      </c>
      <c r="B51" s="9" t="s">
        <v>971</v>
      </c>
      <c r="C51" s="74" t="s">
        <v>4062</v>
      </c>
      <c r="D51" s="9" t="s">
        <v>349</v>
      </c>
      <c r="E51" s="9" t="s">
        <v>436</v>
      </c>
      <c r="F51" s="9" t="s">
        <v>4063</v>
      </c>
      <c r="G51" s="21" t="s">
        <v>464</v>
      </c>
    </row>
    <row r="52" ht="15.75" customHeight="1">
      <c r="A52" s="25" t="s">
        <v>4064</v>
      </c>
      <c r="B52" s="9" t="s">
        <v>960</v>
      </c>
      <c r="C52" s="74" t="s">
        <v>3836</v>
      </c>
      <c r="D52" s="9" t="s">
        <v>349</v>
      </c>
      <c r="E52" s="9" t="s">
        <v>432</v>
      </c>
      <c r="F52" s="9" t="s">
        <v>4065</v>
      </c>
      <c r="G52" s="21" t="s">
        <v>464</v>
      </c>
    </row>
    <row r="53" ht="15.75" customHeight="1">
      <c r="A53" s="25" t="s">
        <v>2146</v>
      </c>
      <c r="B53" s="9" t="s">
        <v>3840</v>
      </c>
      <c r="C53" s="74" t="s">
        <v>4066</v>
      </c>
      <c r="D53" s="9" t="s">
        <v>349</v>
      </c>
      <c r="E53" s="9" t="s">
        <v>4067</v>
      </c>
      <c r="F53" s="9" t="s">
        <v>4068</v>
      </c>
      <c r="G53" s="21" t="s">
        <v>464</v>
      </c>
    </row>
    <row r="54" ht="15.75" customHeight="1">
      <c r="A54" s="25" t="s">
        <v>1857</v>
      </c>
      <c r="B54" s="9" t="s">
        <v>4069</v>
      </c>
      <c r="C54" s="74" t="s">
        <v>3496</v>
      </c>
      <c r="D54" s="9" t="s">
        <v>348</v>
      </c>
      <c r="E54" s="9" t="s">
        <v>365</v>
      </c>
      <c r="F54" s="9" t="s">
        <v>4070</v>
      </c>
      <c r="G54" s="21" t="s">
        <v>464</v>
      </c>
    </row>
    <row r="55" ht="15.75" customHeight="1">
      <c r="A55" s="25" t="s">
        <v>2136</v>
      </c>
      <c r="B55" s="9" t="s">
        <v>3814</v>
      </c>
      <c r="C55" s="74" t="s">
        <v>4071</v>
      </c>
      <c r="D55" s="9" t="s">
        <v>348</v>
      </c>
      <c r="E55" s="9" t="s">
        <v>425</v>
      </c>
      <c r="F55" s="9" t="s">
        <v>4072</v>
      </c>
      <c r="G55" s="21" t="s">
        <v>464</v>
      </c>
    </row>
    <row r="56" ht="15.75" customHeight="1">
      <c r="A56" s="25" t="s">
        <v>4073</v>
      </c>
      <c r="B56" s="9" t="s">
        <v>4074</v>
      </c>
      <c r="C56" s="74" t="s">
        <v>4075</v>
      </c>
      <c r="D56" s="9" t="s">
        <v>348</v>
      </c>
      <c r="E56" s="9" t="s">
        <v>418</v>
      </c>
      <c r="F56" s="9" t="s">
        <v>4076</v>
      </c>
      <c r="G56" s="21" t="s">
        <v>464</v>
      </c>
    </row>
    <row r="57" ht="15.75" customHeight="1">
      <c r="A57" s="25" t="s">
        <v>4077</v>
      </c>
      <c r="B57" s="9" t="s">
        <v>4078</v>
      </c>
      <c r="C57" s="74" t="s">
        <v>4079</v>
      </c>
      <c r="D57" s="9" t="s">
        <v>348</v>
      </c>
      <c r="E57" s="9" t="s">
        <v>418</v>
      </c>
      <c r="F57" s="9" t="s">
        <v>4080</v>
      </c>
      <c r="G57" s="21" t="s">
        <v>464</v>
      </c>
    </row>
    <row r="58" ht="15.75" customHeight="1">
      <c r="A58" s="25" t="s">
        <v>2056</v>
      </c>
      <c r="B58" s="9" t="s">
        <v>3714</v>
      </c>
      <c r="C58" s="74" t="s">
        <v>3713</v>
      </c>
      <c r="D58" s="9" t="s">
        <v>349</v>
      </c>
      <c r="E58" s="9" t="s">
        <v>342</v>
      </c>
      <c r="F58" s="9" t="s">
        <v>4081</v>
      </c>
      <c r="G58" s="21" t="s">
        <v>464</v>
      </c>
    </row>
    <row r="59" ht="15.75" customHeight="1">
      <c r="A59" s="25" t="s">
        <v>2069</v>
      </c>
      <c r="B59" s="9" t="s">
        <v>4082</v>
      </c>
      <c r="C59" s="74" t="s">
        <v>4083</v>
      </c>
      <c r="D59" s="9" t="s">
        <v>349</v>
      </c>
      <c r="E59" s="9" t="s">
        <v>839</v>
      </c>
      <c r="F59" s="9" t="s">
        <v>4084</v>
      </c>
      <c r="G59" s="21" t="s">
        <v>557</v>
      </c>
    </row>
    <row r="60" ht="15.75" customHeight="1">
      <c r="A60" s="25" t="s">
        <v>2125</v>
      </c>
      <c r="B60" s="9" t="s">
        <v>4085</v>
      </c>
      <c r="C60" s="74" t="s">
        <v>4086</v>
      </c>
      <c r="D60" s="9" t="s">
        <v>349</v>
      </c>
      <c r="E60" s="9" t="s">
        <v>420</v>
      </c>
      <c r="F60" s="9" t="s">
        <v>4087</v>
      </c>
      <c r="G60" s="21" t="s">
        <v>464</v>
      </c>
    </row>
    <row r="61" ht="15.75" customHeight="1">
      <c r="A61" s="25" t="s">
        <v>2088</v>
      </c>
      <c r="B61" s="9" t="s">
        <v>4088</v>
      </c>
      <c r="C61" s="74" t="s">
        <v>3751</v>
      </c>
      <c r="D61" s="9" t="s">
        <v>349</v>
      </c>
      <c r="E61" s="9" t="s">
        <v>410</v>
      </c>
      <c r="F61" s="9" t="s">
        <v>4089</v>
      </c>
      <c r="G61" s="21" t="s">
        <v>464</v>
      </c>
    </row>
    <row r="62" ht="15.75" customHeight="1">
      <c r="A62" s="25" t="s">
        <v>2156</v>
      </c>
      <c r="B62" s="9" t="s">
        <v>433</v>
      </c>
      <c r="C62" s="74" t="s">
        <v>4090</v>
      </c>
      <c r="D62" s="9" t="s">
        <v>349</v>
      </c>
      <c r="E62" s="9" t="s">
        <v>434</v>
      </c>
      <c r="F62" s="9" t="s">
        <v>4091</v>
      </c>
      <c r="G62" s="21" t="s">
        <v>464</v>
      </c>
    </row>
    <row r="63" ht="15.75" customHeight="1">
      <c r="A63" s="25" t="s">
        <v>2081</v>
      </c>
      <c r="B63" s="9" t="s">
        <v>221</v>
      </c>
      <c r="C63" s="74" t="s">
        <v>3743</v>
      </c>
      <c r="D63" s="9" t="s">
        <v>349</v>
      </c>
      <c r="E63" s="9" t="s">
        <v>408</v>
      </c>
      <c r="F63" s="9" t="s">
        <v>4092</v>
      </c>
      <c r="G63" s="21" t="s">
        <v>483</v>
      </c>
    </row>
    <row r="64" ht="15.75" customHeight="1">
      <c r="A64" s="25" t="s">
        <v>2166</v>
      </c>
      <c r="B64" s="9" t="s">
        <v>3419</v>
      </c>
      <c r="C64" s="74" t="s">
        <v>4093</v>
      </c>
      <c r="D64" s="9" t="s">
        <v>349</v>
      </c>
      <c r="E64" s="9" t="s">
        <v>438</v>
      </c>
      <c r="F64" s="9" t="s">
        <v>4094</v>
      </c>
      <c r="G64" s="21" t="s">
        <v>557</v>
      </c>
    </row>
    <row r="65" ht="15.75" customHeight="1">
      <c r="A65" s="25" t="s">
        <v>2186</v>
      </c>
      <c r="B65" s="9" t="s">
        <v>4095</v>
      </c>
      <c r="C65" s="74" t="s">
        <v>3890</v>
      </c>
      <c r="D65" s="9" t="s">
        <v>349</v>
      </c>
      <c r="E65" s="9" t="s">
        <v>444</v>
      </c>
      <c r="F65" s="9" t="s">
        <v>4096</v>
      </c>
      <c r="G65" s="21" t="s">
        <v>464</v>
      </c>
    </row>
    <row r="66" ht="15.75" customHeight="1">
      <c r="A66" s="25" t="s">
        <v>4097</v>
      </c>
      <c r="B66" s="9" t="s">
        <v>4098</v>
      </c>
      <c r="C66" s="74" t="s">
        <v>4099</v>
      </c>
      <c r="D66" s="9" t="s">
        <v>349</v>
      </c>
      <c r="E66" s="9" t="s">
        <v>436</v>
      </c>
      <c r="F66" s="9" t="s">
        <v>4100</v>
      </c>
      <c r="G66" s="21" t="s">
        <v>557</v>
      </c>
    </row>
    <row r="67" ht="15.75" customHeight="1">
      <c r="A67" s="25" t="s">
        <v>4101</v>
      </c>
      <c r="B67" s="9" t="s">
        <v>4102</v>
      </c>
      <c r="C67" s="74" t="s">
        <v>3845</v>
      </c>
      <c r="D67" s="9" t="s">
        <v>349</v>
      </c>
      <c r="E67" s="9" t="s">
        <v>432</v>
      </c>
      <c r="F67" s="9" t="s">
        <v>4103</v>
      </c>
      <c r="G67" s="21" t="s">
        <v>464</v>
      </c>
    </row>
    <row r="68" ht="15.75" customHeight="1">
      <c r="A68" s="25" t="s">
        <v>2141</v>
      </c>
      <c r="B68" s="9" t="s">
        <v>426</v>
      </c>
      <c r="C68" s="74" t="s">
        <v>3824</v>
      </c>
      <c r="D68" s="9" t="s">
        <v>348</v>
      </c>
      <c r="E68" s="9" t="s">
        <v>427</v>
      </c>
      <c r="F68" s="9" t="s">
        <v>4104</v>
      </c>
      <c r="G68" s="21" t="s">
        <v>464</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68"/>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sheetViews>
  <sheetFormatPr customHeight="1" defaultColWidth="14.43" defaultRowHeight="15.0"/>
  <cols>
    <col customWidth="1" min="1" max="1" width="34.0"/>
    <col customWidth="1" min="2" max="2" width="58.0"/>
    <col customWidth="1" min="3" max="3" width="20.0"/>
    <col customWidth="1" min="4" max="4" width="52.0"/>
    <col customWidth="1" min="5" max="5" width="24.0"/>
    <col customWidth="1" min="6" max="8" width="16.0"/>
    <col customWidth="1" min="9" max="9" width="26.0"/>
    <col customWidth="1" min="10" max="26" width="8.71"/>
  </cols>
  <sheetData>
    <row r="1" ht="25.5" customHeight="1">
      <c r="A1" s="1" t="s">
        <v>4105</v>
      </c>
    </row>
    <row r="2">
      <c r="A2" s="2" t="s">
        <v>4106</v>
      </c>
    </row>
    <row r="4" ht="21.75" customHeight="1">
      <c r="A4" s="3" t="s">
        <v>4107</v>
      </c>
      <c r="B4" s="4"/>
      <c r="C4" s="4"/>
      <c r="D4" s="4"/>
      <c r="E4" s="4"/>
      <c r="F4" s="4"/>
      <c r="G4" s="4"/>
      <c r="H4" s="4"/>
      <c r="I4" s="4"/>
    </row>
    <row r="5" ht="31.5" customHeight="1">
      <c r="A5" s="77" t="s">
        <v>4108</v>
      </c>
      <c r="B5" s="78" t="s">
        <v>4109</v>
      </c>
      <c r="C5" s="15"/>
      <c r="D5" s="15"/>
      <c r="E5" s="16"/>
    </row>
    <row r="6" ht="31.5" customHeight="1">
      <c r="A6" s="77" t="s">
        <v>2025</v>
      </c>
      <c r="B6" s="78" t="s">
        <v>4110</v>
      </c>
      <c r="C6" s="15"/>
      <c r="D6" s="15"/>
      <c r="E6" s="16"/>
    </row>
    <row r="7" ht="31.5" customHeight="1">
      <c r="A7" s="79" t="s">
        <v>4111</v>
      </c>
      <c r="B7" s="80" t="s">
        <v>4112</v>
      </c>
      <c r="C7" s="15"/>
      <c r="D7" s="15"/>
      <c r="E7" s="16"/>
    </row>
    <row r="8" ht="31.5" customHeight="1">
      <c r="A8" s="81" t="s">
        <v>4113</v>
      </c>
      <c r="B8" s="82" t="s">
        <v>4114</v>
      </c>
      <c r="C8" s="15"/>
      <c r="D8" s="15"/>
      <c r="E8" s="16"/>
    </row>
    <row r="9" ht="31.5" customHeight="1">
      <c r="A9" s="83" t="s">
        <v>4115</v>
      </c>
      <c r="B9" s="84" t="s">
        <v>4116</v>
      </c>
      <c r="C9" s="15"/>
      <c r="D9" s="15"/>
      <c r="E9" s="16"/>
    </row>
    <row r="11" ht="21.75" customHeight="1">
      <c r="A11" s="3" t="s">
        <v>4117</v>
      </c>
      <c r="B11" s="4"/>
      <c r="C11" s="4"/>
      <c r="D11" s="4"/>
      <c r="E11" s="4"/>
      <c r="F11" s="4"/>
      <c r="G11" s="4"/>
      <c r="H11" s="4"/>
      <c r="I11" s="4"/>
    </row>
    <row r="12" ht="24.0" customHeight="1">
      <c r="A12" s="8" t="s">
        <v>4118</v>
      </c>
      <c r="B12" s="8" t="s">
        <v>4119</v>
      </c>
      <c r="C12" s="8" t="s">
        <v>4120</v>
      </c>
      <c r="D12" s="8" t="s">
        <v>4121</v>
      </c>
      <c r="E12" s="8" t="s">
        <v>4122</v>
      </c>
    </row>
    <row r="13">
      <c r="A13" s="23" t="s">
        <v>4123</v>
      </c>
      <c r="B13" s="9" t="s">
        <v>4124</v>
      </c>
      <c r="C13" s="26" t="s">
        <v>4125</v>
      </c>
      <c r="D13" s="9" t="s">
        <v>4126</v>
      </c>
      <c r="E13" s="9" t="s">
        <v>1453</v>
      </c>
    </row>
    <row r="14">
      <c r="A14" s="23" t="s">
        <v>4127</v>
      </c>
      <c r="B14" s="9" t="s">
        <v>4128</v>
      </c>
      <c r="C14" s="26" t="s">
        <v>4125</v>
      </c>
      <c r="D14" s="9" t="s">
        <v>4129</v>
      </c>
      <c r="E14" s="9" t="s">
        <v>399</v>
      </c>
    </row>
    <row r="15">
      <c r="A15" s="23" t="s">
        <v>4130</v>
      </c>
      <c r="B15" s="9" t="s">
        <v>4131</v>
      </c>
      <c r="C15" s="26" t="s">
        <v>4125</v>
      </c>
      <c r="D15" s="9" t="s">
        <v>4132</v>
      </c>
      <c r="E15" s="9" t="s">
        <v>771</v>
      </c>
    </row>
    <row r="16">
      <c r="A16" s="23" t="s">
        <v>4133</v>
      </c>
      <c r="B16" s="9" t="s">
        <v>4134</v>
      </c>
      <c r="C16" s="29" t="s">
        <v>4135</v>
      </c>
      <c r="D16" s="9" t="s">
        <v>4136</v>
      </c>
      <c r="E16" s="9" t="s">
        <v>808</v>
      </c>
    </row>
    <row r="17">
      <c r="A17" s="23" t="s">
        <v>4137</v>
      </c>
      <c r="B17" s="9" t="s">
        <v>4138</v>
      </c>
      <c r="C17" s="75" t="s">
        <v>4139</v>
      </c>
      <c r="D17" s="9" t="s">
        <v>4140</v>
      </c>
      <c r="E17" s="9" t="s">
        <v>3266</v>
      </c>
    </row>
    <row r="18">
      <c r="A18" s="23" t="s">
        <v>4141</v>
      </c>
      <c r="B18" s="9" t="s">
        <v>4142</v>
      </c>
      <c r="C18" s="75" t="s">
        <v>4139</v>
      </c>
      <c r="D18" s="9" t="s">
        <v>4143</v>
      </c>
      <c r="E18" s="9" t="s">
        <v>2018</v>
      </c>
    </row>
    <row r="19">
      <c r="A19" s="23" t="s">
        <v>4144</v>
      </c>
      <c r="B19" s="9" t="s">
        <v>4145</v>
      </c>
      <c r="C19" s="85" t="s">
        <v>4146</v>
      </c>
      <c r="D19" s="9" t="s">
        <v>4147</v>
      </c>
      <c r="E19" s="9" t="s">
        <v>1500</v>
      </c>
    </row>
    <row r="20">
      <c r="A20" s="23" t="s">
        <v>4148</v>
      </c>
      <c r="B20" s="9" t="s">
        <v>4149</v>
      </c>
      <c r="C20" s="75" t="s">
        <v>4139</v>
      </c>
      <c r="D20" s="9" t="s">
        <v>4150</v>
      </c>
      <c r="E20" s="9" t="s">
        <v>817</v>
      </c>
    </row>
    <row r="21" ht="15.75" customHeight="1">
      <c r="A21" s="23" t="s">
        <v>4151</v>
      </c>
      <c r="B21" s="9" t="s">
        <v>4152</v>
      </c>
      <c r="C21" s="26" t="s">
        <v>4125</v>
      </c>
      <c r="D21" s="9" t="s">
        <v>4153</v>
      </c>
      <c r="E21" s="9" t="s">
        <v>4154</v>
      </c>
    </row>
    <row r="22" ht="15.75" customHeight="1">
      <c r="A22" s="23" t="s">
        <v>4082</v>
      </c>
      <c r="B22" s="9" t="s">
        <v>4155</v>
      </c>
      <c r="C22" s="29" t="s">
        <v>4156</v>
      </c>
      <c r="D22" s="9" t="s">
        <v>4157</v>
      </c>
      <c r="E22" s="9" t="s">
        <v>839</v>
      </c>
    </row>
    <row r="23" ht="15.75" customHeight="1">
      <c r="A23" s="23" t="s">
        <v>4158</v>
      </c>
      <c r="B23" s="9" t="s">
        <v>4159</v>
      </c>
      <c r="C23" s="26" t="s">
        <v>4125</v>
      </c>
      <c r="D23" s="9" t="s">
        <v>4160</v>
      </c>
      <c r="E23" s="9" t="s">
        <v>4161</v>
      </c>
    </row>
    <row r="24" ht="15.75" customHeight="1">
      <c r="A24" s="23" t="s">
        <v>4162</v>
      </c>
      <c r="B24" s="9" t="s">
        <v>4163</v>
      </c>
      <c r="C24" s="29" t="s">
        <v>4164</v>
      </c>
      <c r="D24" s="9" t="s">
        <v>4165</v>
      </c>
      <c r="E24" s="9" t="s">
        <v>4154</v>
      </c>
    </row>
    <row r="25" ht="15.75" customHeight="1">
      <c r="A25" s="23" t="s">
        <v>4166</v>
      </c>
      <c r="B25" s="9" t="s">
        <v>4167</v>
      </c>
      <c r="C25" s="27" t="s">
        <v>4168</v>
      </c>
      <c r="D25" s="9" t="s">
        <v>4169</v>
      </c>
      <c r="E25" s="9" t="s">
        <v>4170</v>
      </c>
    </row>
    <row r="26" ht="15.75" customHeight="1"/>
    <row r="27" ht="21.75" customHeight="1">
      <c r="A27" s="3" t="s">
        <v>4171</v>
      </c>
      <c r="B27" s="4"/>
      <c r="C27" s="4"/>
      <c r="D27" s="4"/>
      <c r="E27" s="4"/>
      <c r="F27" s="4"/>
      <c r="G27" s="4"/>
      <c r="H27" s="4"/>
      <c r="I27" s="4"/>
    </row>
    <row r="28" ht="33.75" customHeight="1">
      <c r="A28" s="8" t="s">
        <v>4172</v>
      </c>
      <c r="B28" s="8" t="s">
        <v>177</v>
      </c>
      <c r="C28" s="8" t="s">
        <v>4173</v>
      </c>
      <c r="D28" s="8" t="s">
        <v>4174</v>
      </c>
      <c r="E28" s="8" t="s">
        <v>4175</v>
      </c>
      <c r="F28" s="8" t="s">
        <v>4176</v>
      </c>
      <c r="G28" s="8" t="s">
        <v>4177</v>
      </c>
      <c r="H28" s="8" t="s">
        <v>4178</v>
      </c>
      <c r="I28" s="8" t="s">
        <v>4179</v>
      </c>
    </row>
    <row r="29" ht="15.75" customHeight="1">
      <c r="A29" s="23" t="s">
        <v>4180</v>
      </c>
      <c r="B29" s="9" t="s">
        <v>4181</v>
      </c>
      <c r="C29" s="9" t="s">
        <v>4182</v>
      </c>
      <c r="D29" s="9" t="s">
        <v>255</v>
      </c>
      <c r="E29" s="9" t="s">
        <v>4183</v>
      </c>
      <c r="F29" s="9" t="s">
        <v>247</v>
      </c>
      <c r="G29" s="9" t="s">
        <v>4184</v>
      </c>
      <c r="H29" s="9" t="s">
        <v>247</v>
      </c>
      <c r="I29" s="86" t="s">
        <v>4185</v>
      </c>
    </row>
    <row r="30" ht="15.75" customHeight="1">
      <c r="A30" s="23" t="s">
        <v>4186</v>
      </c>
      <c r="B30" s="9" t="s">
        <v>4187</v>
      </c>
      <c r="C30" s="9" t="s">
        <v>4188</v>
      </c>
      <c r="D30" s="9" t="s">
        <v>255</v>
      </c>
      <c r="E30" s="9" t="s">
        <v>4189</v>
      </c>
      <c r="F30" s="9" t="s">
        <v>247</v>
      </c>
      <c r="G30" s="9" t="s">
        <v>4190</v>
      </c>
      <c r="H30" s="9" t="s">
        <v>247</v>
      </c>
      <c r="I30" s="86" t="s">
        <v>4191</v>
      </c>
    </row>
    <row r="31" ht="15.75" customHeight="1">
      <c r="A31" s="23" t="s">
        <v>4192</v>
      </c>
      <c r="B31" s="9" t="s">
        <v>4193</v>
      </c>
      <c r="C31" s="9" t="s">
        <v>4194</v>
      </c>
      <c r="D31" s="9" t="s">
        <v>4194</v>
      </c>
      <c r="E31" s="9" t="s">
        <v>4195</v>
      </c>
      <c r="F31" s="9" t="s">
        <v>4194</v>
      </c>
      <c r="G31" s="9" t="s">
        <v>247</v>
      </c>
      <c r="H31" s="9" t="s">
        <v>4194</v>
      </c>
      <c r="I31" s="32" t="s">
        <v>4196</v>
      </c>
    </row>
    <row r="32" ht="15.75" customHeight="1">
      <c r="A32" s="23" t="s">
        <v>4197</v>
      </c>
      <c r="B32" s="9" t="s">
        <v>4198</v>
      </c>
      <c r="C32" s="9" t="s">
        <v>2790</v>
      </c>
      <c r="D32" s="9" t="s">
        <v>4194</v>
      </c>
      <c r="E32" s="9" t="s">
        <v>4199</v>
      </c>
      <c r="F32" s="9" t="s">
        <v>255</v>
      </c>
      <c r="G32" s="9" t="s">
        <v>4200</v>
      </c>
      <c r="H32" s="9" t="s">
        <v>4201</v>
      </c>
      <c r="I32" s="32" t="s">
        <v>4202</v>
      </c>
    </row>
    <row r="33" ht="15.75" customHeight="1"/>
    <row r="34" ht="21.75" customHeight="1">
      <c r="A34" s="3" t="s">
        <v>4203</v>
      </c>
      <c r="B34" s="4"/>
      <c r="C34" s="4"/>
      <c r="D34" s="4"/>
      <c r="E34" s="4"/>
      <c r="F34" s="4"/>
      <c r="G34" s="4"/>
      <c r="H34" s="4"/>
      <c r="I34" s="4"/>
    </row>
    <row r="35" ht="30.0" customHeight="1">
      <c r="A35" s="5" t="s">
        <v>4044</v>
      </c>
      <c r="B35" s="6" t="s">
        <v>4204</v>
      </c>
    </row>
    <row r="36" ht="30.0" customHeight="1">
      <c r="A36" s="5" t="s">
        <v>2851</v>
      </c>
      <c r="B36" s="6" t="s">
        <v>4205</v>
      </c>
    </row>
    <row r="37" ht="30.0" customHeight="1">
      <c r="A37" s="5" t="s">
        <v>3027</v>
      </c>
      <c r="B37" s="6" t="s">
        <v>4206</v>
      </c>
    </row>
    <row r="38" ht="30.0" customHeight="1">
      <c r="A38" s="5" t="s">
        <v>2025</v>
      </c>
      <c r="B38" s="6" t="s">
        <v>4207</v>
      </c>
    </row>
    <row r="39" ht="30.0" customHeight="1">
      <c r="A39" s="5" t="s">
        <v>4058</v>
      </c>
      <c r="B39" s="6" t="s">
        <v>4208</v>
      </c>
    </row>
    <row r="40" ht="15.75" customHeight="1"/>
    <row r="41" ht="21.75" customHeight="1">
      <c r="A41" s="3" t="s">
        <v>4209</v>
      </c>
      <c r="B41" s="4"/>
      <c r="C41" s="4"/>
      <c r="D41" s="4"/>
      <c r="E41" s="4"/>
      <c r="F41" s="4"/>
      <c r="G41" s="4"/>
      <c r="H41" s="4"/>
      <c r="I41" s="4"/>
    </row>
    <row r="42" ht="27.75" customHeight="1">
      <c r="A42" s="5" t="s">
        <v>4210</v>
      </c>
      <c r="B42" s="6" t="s">
        <v>4211</v>
      </c>
    </row>
    <row r="43" ht="27.75" customHeight="1">
      <c r="A43" s="5" t="s">
        <v>4212</v>
      </c>
      <c r="B43" s="6" t="s">
        <v>4213</v>
      </c>
    </row>
    <row r="44" ht="27.75" customHeight="1">
      <c r="A44" s="5" t="s">
        <v>4214</v>
      </c>
      <c r="B44" s="6" t="s">
        <v>4215</v>
      </c>
    </row>
    <row r="45" ht="27.75" customHeight="1">
      <c r="A45" s="5" t="s">
        <v>4216</v>
      </c>
      <c r="B45" s="6" t="s">
        <v>4217</v>
      </c>
    </row>
    <row r="46" ht="27.75" customHeight="1">
      <c r="A46" s="5" t="s">
        <v>4218</v>
      </c>
      <c r="B46" s="6" t="s">
        <v>4219</v>
      </c>
    </row>
    <row r="47" ht="27.75" customHeight="1">
      <c r="A47" s="5" t="s">
        <v>4220</v>
      </c>
      <c r="B47" s="6" t="s">
        <v>4221</v>
      </c>
    </row>
    <row r="48" ht="27.75" customHeight="1">
      <c r="A48" s="5" t="s">
        <v>4222</v>
      </c>
      <c r="B48" s="6" t="s">
        <v>4223</v>
      </c>
    </row>
    <row r="49" ht="15.75" customHeight="1"/>
    <row r="50" ht="21.75" customHeight="1">
      <c r="A50" s="3" t="s">
        <v>4224</v>
      </c>
      <c r="B50" s="4"/>
      <c r="C50" s="4"/>
      <c r="D50" s="4"/>
      <c r="E50" s="4"/>
      <c r="F50" s="4"/>
      <c r="G50" s="4"/>
      <c r="H50" s="4"/>
      <c r="I50" s="4"/>
    </row>
    <row r="51" ht="15.75" customHeight="1">
      <c r="A51" s="22" t="s">
        <v>4225</v>
      </c>
      <c r="B51" s="87" t="s">
        <v>4226</v>
      </c>
    </row>
    <row r="52" ht="15.75" customHeight="1">
      <c r="A52" s="22" t="s">
        <v>4227</v>
      </c>
      <c r="B52" s="87" t="s">
        <v>4228</v>
      </c>
    </row>
    <row r="53" ht="15.75" customHeight="1">
      <c r="A53" s="22" t="s">
        <v>4229</v>
      </c>
      <c r="B53" s="59" t="s">
        <v>4230</v>
      </c>
    </row>
    <row r="54" ht="15.75" customHeight="1">
      <c r="A54" s="22" t="s">
        <v>4231</v>
      </c>
      <c r="B54" s="59" t="s">
        <v>4232</v>
      </c>
    </row>
    <row r="55" ht="15.75" customHeight="1">
      <c r="A55" s="22" t="s">
        <v>4233</v>
      </c>
      <c r="B55" s="59" t="s">
        <v>4234</v>
      </c>
    </row>
    <row r="56" ht="15.75" customHeight="1">
      <c r="A56" s="22" t="s">
        <v>4235</v>
      </c>
      <c r="B56" s="87" t="s">
        <v>4236</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B5:E5"/>
    <mergeCell ref="B6:E6"/>
    <mergeCell ref="B7:E7"/>
    <mergeCell ref="B8:E8"/>
    <mergeCell ref="B9:E9"/>
    <mergeCell ref="B35:E35"/>
    <mergeCell ref="B36:E36"/>
    <mergeCell ref="B37:E37"/>
    <mergeCell ref="B38:E38"/>
    <mergeCell ref="B39:E39"/>
    <mergeCell ref="B42:E42"/>
    <mergeCell ref="B43:E43"/>
    <mergeCell ref="B44:E44"/>
    <mergeCell ref="B45:E45"/>
    <mergeCell ref="B55:E55"/>
    <mergeCell ref="B56:E56"/>
    <mergeCell ref="B46:E46"/>
    <mergeCell ref="B47:E47"/>
    <mergeCell ref="B48:E48"/>
    <mergeCell ref="B51:E51"/>
    <mergeCell ref="B52:E52"/>
    <mergeCell ref="B53:E53"/>
    <mergeCell ref="B54:E54"/>
  </mergeCells>
  <hyperlinks>
    <hyperlink r:id="rId1" ref="B51"/>
    <hyperlink r:id="rId2" ref="B52"/>
    <hyperlink r:id="rId3" ref="B56"/>
  </hyperlinks>
  <printOptions/>
  <pageMargins bottom="1.0" footer="0.0" header="0.0" left="0.75" right="0.75" top="1.0"/>
  <pageSetup fitToHeight="0"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0.29"/>
    <col customWidth="1" min="2" max="17" width="13.0"/>
    <col customWidth="1" min="18" max="26" width="8.71"/>
  </cols>
  <sheetData>
    <row r="1" ht="25.5" customHeight="1">
      <c r="A1" s="88" t="s">
        <v>4237</v>
      </c>
    </row>
    <row r="2">
      <c r="A2" s="89" t="s">
        <v>4238</v>
      </c>
    </row>
    <row r="4" ht="21.75" customHeight="1">
      <c r="A4" s="3" t="s">
        <v>4239</v>
      </c>
      <c r="B4" s="4"/>
      <c r="C4" s="4"/>
      <c r="D4" s="4"/>
      <c r="E4" s="4"/>
      <c r="F4" s="4"/>
      <c r="G4" s="4"/>
      <c r="H4" s="4"/>
      <c r="I4" s="4"/>
      <c r="J4" s="4"/>
      <c r="K4" s="4"/>
      <c r="L4" s="4"/>
      <c r="M4" s="4"/>
      <c r="N4" s="4"/>
      <c r="O4" s="4"/>
      <c r="P4" s="4"/>
      <c r="Q4" s="4"/>
    </row>
    <row r="5" ht="15.0" customHeight="1">
      <c r="A5" s="90" t="s">
        <v>4240</v>
      </c>
      <c r="B5" s="15"/>
      <c r="C5" s="15"/>
      <c r="D5" s="16"/>
      <c r="E5" s="55">
        <v>24.0</v>
      </c>
      <c r="F5" s="30" t="s">
        <v>4241</v>
      </c>
    </row>
    <row r="6" ht="15.0" customHeight="1">
      <c r="A6" s="90" t="s">
        <v>4242</v>
      </c>
      <c r="B6" s="15"/>
      <c r="C6" s="15"/>
      <c r="D6" s="16"/>
      <c r="E6" s="91">
        <v>5.0</v>
      </c>
      <c r="F6" s="46" t="s">
        <v>4243</v>
      </c>
    </row>
    <row r="7" ht="15.0" customHeight="1">
      <c r="A7" s="90" t="s">
        <v>4244</v>
      </c>
      <c r="B7" s="15"/>
      <c r="C7" s="15"/>
      <c r="D7" s="16"/>
      <c r="E7" s="91">
        <v>1.0</v>
      </c>
      <c r="F7" s="46" t="s">
        <v>4245</v>
      </c>
    </row>
    <row r="8" ht="15.0" customHeight="1">
      <c r="A8" s="90" t="s">
        <v>4246</v>
      </c>
      <c r="B8" s="15"/>
      <c r="C8" s="15"/>
      <c r="D8" s="16"/>
      <c r="E8" s="55">
        <v>4.0</v>
      </c>
      <c r="F8" s="30" t="s">
        <v>4247</v>
      </c>
    </row>
    <row r="9" ht="15.0" customHeight="1">
      <c r="A9" s="90" t="s">
        <v>4248</v>
      </c>
      <c r="B9" s="15"/>
      <c r="C9" s="15"/>
      <c r="D9" s="16"/>
      <c r="E9" s="92">
        <f>COUNTA(A15:A20)</f>
        <v>6</v>
      </c>
      <c r="F9" s="30" t="s">
        <v>4249</v>
      </c>
    </row>
    <row r="10" ht="15.0" customHeight="1">
      <c r="A10" s="90" t="s">
        <v>4250</v>
      </c>
      <c r="B10" s="15"/>
      <c r="C10" s="15"/>
      <c r="D10" s="16"/>
      <c r="E10" s="92">
        <f>E5*E7</f>
        <v>24</v>
      </c>
      <c r="F10" s="30" t="s">
        <v>4251</v>
      </c>
    </row>
    <row r="11" ht="15.0" customHeight="1">
      <c r="A11" s="90" t="s">
        <v>4252</v>
      </c>
      <c r="B11" s="15"/>
      <c r="C11" s="15"/>
      <c r="D11" s="16"/>
      <c r="E11" s="93">
        <f>E5*E6*E9</f>
        <v>720</v>
      </c>
      <c r="F11" s="30" t="s">
        <v>4251</v>
      </c>
    </row>
    <row r="13" ht="21.75" customHeight="1">
      <c r="A13" s="94" t="s">
        <v>4253</v>
      </c>
      <c r="B13" s="4"/>
      <c r="C13" s="4"/>
      <c r="D13" s="4"/>
      <c r="E13" s="4"/>
      <c r="F13" s="4"/>
      <c r="G13" s="4"/>
      <c r="H13" s="4"/>
      <c r="I13" s="4"/>
      <c r="J13" s="4"/>
      <c r="K13" s="4"/>
      <c r="L13" s="4"/>
      <c r="M13" s="4"/>
      <c r="N13" s="4"/>
      <c r="O13" s="4"/>
      <c r="P13" s="4"/>
      <c r="Q13" s="4"/>
    </row>
    <row r="14" ht="33.75" customHeight="1">
      <c r="A14" s="8" t="s">
        <v>4254</v>
      </c>
      <c r="B14" s="8" t="s">
        <v>4255</v>
      </c>
      <c r="C14" s="8" t="s">
        <v>4256</v>
      </c>
      <c r="D14" s="8" t="s">
        <v>4257</v>
      </c>
      <c r="E14" s="8" t="s">
        <v>4258</v>
      </c>
      <c r="F14" s="8" t="s">
        <v>4259</v>
      </c>
      <c r="G14" s="8" t="s">
        <v>4260</v>
      </c>
      <c r="H14" s="8" t="s">
        <v>4261</v>
      </c>
      <c r="I14" s="24" t="s">
        <v>3911</v>
      </c>
      <c r="J14" s="15"/>
      <c r="K14" s="16"/>
      <c r="L14" s="24" t="s">
        <v>4262</v>
      </c>
      <c r="M14" s="15"/>
      <c r="N14" s="15"/>
      <c r="O14" s="15"/>
      <c r="P14" s="15"/>
      <c r="Q14" s="16"/>
    </row>
    <row r="15" ht="30.0" customHeight="1">
      <c r="A15" s="95" t="s">
        <v>4263</v>
      </c>
      <c r="B15" s="96">
        <f>SUMIF('04_UC'!$O$5:$O$67, $A15, '04_UC'!$Q$5:$Q$67)</f>
        <v>80</v>
      </c>
      <c r="C15" s="97">
        <v>20.0</v>
      </c>
      <c r="D15" s="96">
        <f t="shared" ref="D15:D20" si="1">$E$8*($E$6/$E$7)</f>
        <v>20</v>
      </c>
      <c r="E15" s="96">
        <f t="shared" ref="E15:E20" si="2">SUM(B15:D15)</f>
        <v>120</v>
      </c>
      <c r="F15" s="96">
        <f t="shared" ref="F15:F20" si="3">$E$5*$E$6</f>
        <v>120</v>
      </c>
      <c r="G15" s="98">
        <f t="shared" ref="G15:G21" si="4">E15/F15</f>
        <v>1</v>
      </c>
      <c r="H15" s="97">
        <v>0.0</v>
      </c>
      <c r="I15" s="17" t="s">
        <v>4264</v>
      </c>
      <c r="J15" s="15"/>
      <c r="K15" s="16"/>
      <c r="L15" s="17" t="s">
        <v>4265</v>
      </c>
      <c r="M15" s="15"/>
      <c r="N15" s="15"/>
      <c r="O15" s="15"/>
      <c r="P15" s="15"/>
      <c r="Q15" s="16"/>
    </row>
    <row r="16" ht="30.0" customHeight="1">
      <c r="A16" s="95" t="s">
        <v>4266</v>
      </c>
      <c r="B16" s="96">
        <f>SUMIF('04_UC'!$O$5:$O$67, $A16, '04_UC'!$Q$5:$Q$67)</f>
        <v>64</v>
      </c>
      <c r="C16" s="97">
        <v>20.0</v>
      </c>
      <c r="D16" s="96">
        <f t="shared" si="1"/>
        <v>20</v>
      </c>
      <c r="E16" s="96">
        <f t="shared" si="2"/>
        <v>104</v>
      </c>
      <c r="F16" s="96">
        <f t="shared" si="3"/>
        <v>120</v>
      </c>
      <c r="G16" s="98">
        <f t="shared" si="4"/>
        <v>0.8666666667</v>
      </c>
      <c r="H16" s="97">
        <v>0.0</v>
      </c>
      <c r="I16" s="17" t="s">
        <v>4267</v>
      </c>
      <c r="J16" s="15"/>
      <c r="K16" s="16"/>
      <c r="L16" s="17" t="s">
        <v>4268</v>
      </c>
      <c r="M16" s="15"/>
      <c r="N16" s="15"/>
      <c r="O16" s="15"/>
      <c r="P16" s="15"/>
      <c r="Q16" s="16"/>
    </row>
    <row r="17" ht="30.0" customHeight="1">
      <c r="A17" s="95" t="s">
        <v>4269</v>
      </c>
      <c r="B17" s="96">
        <f>SUMIF('04_UC'!$O$5:$O$67, $A17, '04_UC'!$Q$5:$Q$67)</f>
        <v>80</v>
      </c>
      <c r="C17" s="97">
        <v>20.0</v>
      </c>
      <c r="D17" s="96">
        <f t="shared" si="1"/>
        <v>20</v>
      </c>
      <c r="E17" s="96">
        <f t="shared" si="2"/>
        <v>120</v>
      </c>
      <c r="F17" s="96">
        <f t="shared" si="3"/>
        <v>120</v>
      </c>
      <c r="G17" s="98">
        <f t="shared" si="4"/>
        <v>1</v>
      </c>
      <c r="H17" s="97">
        <v>0.0</v>
      </c>
      <c r="I17" s="17" t="s">
        <v>4270</v>
      </c>
      <c r="J17" s="15"/>
      <c r="K17" s="16"/>
      <c r="L17" s="17" t="s">
        <v>4271</v>
      </c>
      <c r="M17" s="15"/>
      <c r="N17" s="15"/>
      <c r="O17" s="15"/>
      <c r="P17" s="15"/>
      <c r="Q17" s="16"/>
    </row>
    <row r="18" ht="30.0" customHeight="1">
      <c r="A18" s="95" t="s">
        <v>4272</v>
      </c>
      <c r="B18" s="96">
        <f>SUMIF('04_UC'!$O$5:$O$67, $A18, '04_UC'!$Q$5:$Q$67)</f>
        <v>80</v>
      </c>
      <c r="C18" s="97">
        <v>20.0</v>
      </c>
      <c r="D18" s="96">
        <f t="shared" si="1"/>
        <v>20</v>
      </c>
      <c r="E18" s="96">
        <f t="shared" si="2"/>
        <v>120</v>
      </c>
      <c r="F18" s="96">
        <f t="shared" si="3"/>
        <v>120</v>
      </c>
      <c r="G18" s="98">
        <f t="shared" si="4"/>
        <v>1</v>
      </c>
      <c r="H18" s="97">
        <v>0.0</v>
      </c>
      <c r="I18" s="17" t="s">
        <v>4273</v>
      </c>
      <c r="J18" s="15"/>
      <c r="K18" s="16"/>
      <c r="L18" s="17" t="s">
        <v>4274</v>
      </c>
      <c r="M18" s="15"/>
      <c r="N18" s="15"/>
      <c r="O18" s="15"/>
      <c r="P18" s="15"/>
      <c r="Q18" s="16"/>
    </row>
    <row r="19" ht="30.0" customHeight="1">
      <c r="A19" s="95" t="s">
        <v>4275</v>
      </c>
      <c r="B19" s="96">
        <f>SUMIF('04_UC'!$O$5:$O$67, $A19, '04_UC'!$Q$5:$Q$67)</f>
        <v>80</v>
      </c>
      <c r="C19" s="97">
        <v>20.0</v>
      </c>
      <c r="D19" s="96">
        <f t="shared" si="1"/>
        <v>20</v>
      </c>
      <c r="E19" s="96">
        <f t="shared" si="2"/>
        <v>120</v>
      </c>
      <c r="F19" s="96">
        <f t="shared" si="3"/>
        <v>120</v>
      </c>
      <c r="G19" s="98">
        <f t="shared" si="4"/>
        <v>1</v>
      </c>
      <c r="H19" s="97">
        <v>0.0</v>
      </c>
      <c r="I19" s="17" t="s">
        <v>4276</v>
      </c>
      <c r="J19" s="15"/>
      <c r="K19" s="16"/>
      <c r="L19" s="17" t="s">
        <v>4277</v>
      </c>
      <c r="M19" s="15"/>
      <c r="N19" s="15"/>
      <c r="O19" s="15"/>
      <c r="P19" s="15"/>
      <c r="Q19" s="16"/>
    </row>
    <row r="20" ht="30.0" customHeight="1">
      <c r="A20" s="95" t="s">
        <v>4278</v>
      </c>
      <c r="B20" s="96">
        <f>SUMIF('04_UC'!$O$5:$O$67, $A20, '04_UC'!$Q$5:$Q$67)</f>
        <v>90</v>
      </c>
      <c r="C20" s="97">
        <v>10.0</v>
      </c>
      <c r="D20" s="96">
        <f t="shared" si="1"/>
        <v>20</v>
      </c>
      <c r="E20" s="96">
        <f t="shared" si="2"/>
        <v>120</v>
      </c>
      <c r="F20" s="96">
        <f t="shared" si="3"/>
        <v>120</v>
      </c>
      <c r="G20" s="98">
        <f t="shared" si="4"/>
        <v>1</v>
      </c>
      <c r="H20" s="97">
        <v>0.0</v>
      </c>
      <c r="I20" s="17" t="s">
        <v>4279</v>
      </c>
      <c r="J20" s="15"/>
      <c r="K20" s="16"/>
      <c r="L20" s="17" t="s">
        <v>4280</v>
      </c>
      <c r="M20" s="15"/>
      <c r="N20" s="15"/>
      <c r="O20" s="15"/>
      <c r="P20" s="15"/>
      <c r="Q20" s="16"/>
    </row>
    <row r="21" ht="15.75" customHeight="1">
      <c r="A21" s="5" t="s">
        <v>2197</v>
      </c>
      <c r="B21" s="99">
        <f t="shared" ref="B21:F21" si="5">SUM(B15:B20)</f>
        <v>474</v>
      </c>
      <c r="C21" s="99">
        <f t="shared" si="5"/>
        <v>110</v>
      </c>
      <c r="D21" s="99">
        <f t="shared" si="5"/>
        <v>120</v>
      </c>
      <c r="E21" s="99">
        <f t="shared" si="5"/>
        <v>704</v>
      </c>
      <c r="F21" s="99">
        <f t="shared" si="5"/>
        <v>720</v>
      </c>
      <c r="G21" s="100">
        <f t="shared" si="4"/>
        <v>0.9777777778</v>
      </c>
      <c r="H21" s="99">
        <f>SUM(H15:H20)</f>
        <v>0</v>
      </c>
    </row>
    <row r="22" ht="15.75" customHeight="1"/>
    <row r="23" ht="21.75" customHeight="1">
      <c r="A23" s="3" t="s">
        <v>4281</v>
      </c>
      <c r="B23" s="4"/>
      <c r="C23" s="4"/>
      <c r="D23" s="4"/>
      <c r="E23" s="4"/>
      <c r="F23" s="4"/>
      <c r="G23" s="4"/>
      <c r="H23" s="4"/>
      <c r="I23" s="4"/>
      <c r="J23" s="4"/>
      <c r="K23" s="4"/>
      <c r="L23" s="4"/>
      <c r="M23" s="4"/>
      <c r="N23" s="4"/>
      <c r="O23" s="4"/>
      <c r="P23" s="4"/>
      <c r="Q23" s="4"/>
    </row>
    <row r="24" ht="15.75" customHeight="1">
      <c r="A24" s="41" t="s">
        <v>4254</v>
      </c>
      <c r="B24" s="101">
        <v>1.0</v>
      </c>
      <c r="C24" s="101">
        <v>2.0</v>
      </c>
      <c r="D24" s="101">
        <v>3.0</v>
      </c>
      <c r="E24" s="101">
        <v>4.0</v>
      </c>
      <c r="F24" s="101">
        <v>5.0</v>
      </c>
      <c r="G24" s="101" t="s">
        <v>2197</v>
      </c>
      <c r="H24" s="102"/>
    </row>
    <row r="25" ht="15.75" customHeight="1">
      <c r="A25" s="103" t="str">
        <f t="shared" ref="A25:A30" si="6">A15</f>
        <v>Lư Hữu Luân</v>
      </c>
      <c r="B25" s="96">
        <f>SUMIFS('04_UC'!$Q$5:$Q$67, '04_UC'!$O$5:$O$67, $A25, '04_UC'!$P$5:$P$67, "Sprint " &amp; B$24) + ROUND($C$15/5, 0) + $E$8</f>
        <v>24</v>
      </c>
      <c r="C25" s="96">
        <f>SUMIFS('04_UC'!$Q$5:$Q$67, '04_UC'!$O$5:$O$67, $A25, '04_UC'!$P$5:$P$67, "Sprint " &amp; C$24) + ROUND($C$15/5, 0) + $E$8</f>
        <v>24</v>
      </c>
      <c r="D25" s="96">
        <f>SUMIFS('04_UC'!$Q$5:$Q$67, '04_UC'!$O$5:$O$67, $A25, '04_UC'!$P$5:$P$67, "Sprint " &amp; D$24) + ROUND($C$15/5, 0) + $E$8</f>
        <v>24</v>
      </c>
      <c r="E25" s="96">
        <f>SUMIFS('04_UC'!$Q$5:$Q$67, '04_UC'!$O$5:$O$67, $A25, '04_UC'!$P$5:$P$67, "Sprint " &amp; E$24) + ROUND($C$15/5, 0) + $E$8</f>
        <v>24</v>
      </c>
      <c r="F25" s="96">
        <f>SUMIFS('04_UC'!$Q$5:$Q$67, '04_UC'!$O$5:$O$67, $A25, '04_UC'!$P$5:$P$67, "Sprint " &amp; F$24) + ($C$15 - ROUND($C$15/5, 0)*4) + $E$8</f>
        <v>24</v>
      </c>
      <c r="G25" s="104">
        <f t="shared" ref="G25:G30" si="7">SUM(B25:F25)</f>
        <v>120</v>
      </c>
      <c r="H25" s="105"/>
    </row>
    <row r="26" ht="15.75" customHeight="1">
      <c r="A26" s="103" t="str">
        <f t="shared" si="6"/>
        <v>Nguyễn Thành Huy</v>
      </c>
      <c r="B26" s="96">
        <f>SUMIFS('04_UC'!$Q$5:$Q$67, '04_UC'!$O$5:$O$67, $A26, '04_UC'!$P$5:$P$67, "Sprint " &amp; B$24) + ROUND($C$16/5, 0) + $E$8</f>
        <v>24</v>
      </c>
      <c r="C26" s="96">
        <f>SUMIFS('04_UC'!$Q$5:$Q$67, '04_UC'!$O$5:$O$67, $A26, '04_UC'!$P$5:$P$67, "Sprint " &amp; C$24) + ROUND($C$16/5, 0) + $E$8</f>
        <v>24</v>
      </c>
      <c r="D26" s="96">
        <f>SUMIFS('04_UC'!$Q$5:$Q$67, '04_UC'!$O$5:$O$67, $A26, '04_UC'!$P$5:$P$67, "Sprint " &amp; D$24) + ROUND($C$16/5, 0) + $E$8</f>
        <v>24</v>
      </c>
      <c r="E26" s="96">
        <f>SUMIFS('04_UC'!$Q$5:$Q$67, '04_UC'!$O$5:$O$67, $A26, '04_UC'!$P$5:$P$67, "Sprint " &amp; E$24) + ROUND($C$16/5, 0) + $E$8</f>
        <v>16</v>
      </c>
      <c r="F26" s="96">
        <f>SUMIFS('04_UC'!$Q$5:$Q$67, '04_UC'!$O$5:$O$67, $A26, '04_UC'!$P$5:$P$67, "Sprint " &amp; F$24) + ($C$16 - ROUND($C$16/5, 0)*4) + $E$8</f>
        <v>16</v>
      </c>
      <c r="G26" s="104">
        <f t="shared" si="7"/>
        <v>104</v>
      </c>
      <c r="H26" s="105"/>
    </row>
    <row r="27" ht="15.75" customHeight="1">
      <c r="A27" s="103" t="str">
        <f t="shared" si="6"/>
        <v>Võ Quốc An</v>
      </c>
      <c r="B27" s="96">
        <f>SUMIFS('04_UC'!$Q$5:$Q$67, '04_UC'!$O$5:$O$67, $A27, '04_UC'!$P$5:$P$67, "Sprint " &amp; B$24) + ROUND($C$17/5, 0) + $E$8</f>
        <v>24</v>
      </c>
      <c r="C27" s="96">
        <f>SUMIFS('04_UC'!$Q$5:$Q$67, '04_UC'!$O$5:$O$67, $A27, '04_UC'!$P$5:$P$67, "Sprint " &amp; C$24) + ROUND($C$17/5, 0) + $E$8</f>
        <v>24</v>
      </c>
      <c r="D27" s="96">
        <f>SUMIFS('04_UC'!$Q$5:$Q$67, '04_UC'!$O$5:$O$67, $A27, '04_UC'!$P$5:$P$67, "Sprint " &amp; D$24) + ROUND($C$17/5, 0) + $E$8</f>
        <v>24</v>
      </c>
      <c r="E27" s="96">
        <f>SUMIFS('04_UC'!$Q$5:$Q$67, '04_UC'!$O$5:$O$67, $A27, '04_UC'!$P$5:$P$67, "Sprint " &amp; E$24) + ROUND($C$17/5, 0) + $E$8</f>
        <v>24</v>
      </c>
      <c r="F27" s="96">
        <f>SUMIFS('04_UC'!$Q$5:$Q$67, '04_UC'!$O$5:$O$67, $A27, '04_UC'!$P$5:$P$67, "Sprint " &amp; F$24) + ($C$17 - ROUND($C$17/5, 0)*4) + $E$8</f>
        <v>24</v>
      </c>
      <c r="G27" s="104">
        <f t="shared" si="7"/>
        <v>120</v>
      </c>
      <c r="H27" s="105"/>
    </row>
    <row r="28" ht="15.75" customHeight="1">
      <c r="A28" s="103" t="str">
        <f t="shared" si="6"/>
        <v>Huỳnh Phi Long</v>
      </c>
      <c r="B28" s="96">
        <f>SUMIFS('04_UC'!$Q$5:$Q$67, '04_UC'!$O$5:$O$67, $A28, '04_UC'!$P$5:$P$67, "Sprint " &amp; B$24) + ROUND($C$18/5, 0) + $E$8</f>
        <v>24</v>
      </c>
      <c r="C28" s="96">
        <f>SUMIFS('04_UC'!$Q$5:$Q$67, '04_UC'!$O$5:$O$67, $A28, '04_UC'!$P$5:$P$67, "Sprint " &amp; C$24) + ROUND($C$18/5, 0) + $E$8</f>
        <v>24</v>
      </c>
      <c r="D28" s="96">
        <f>SUMIFS('04_UC'!$Q$5:$Q$67, '04_UC'!$O$5:$O$67, $A28, '04_UC'!$P$5:$P$67, "Sprint " &amp; D$24) + ROUND($C$18/5, 0) + $E$8</f>
        <v>24</v>
      </c>
      <c r="E28" s="96">
        <f>SUMIFS('04_UC'!$Q$5:$Q$67, '04_UC'!$O$5:$O$67, $A28, '04_UC'!$P$5:$P$67, "Sprint " &amp; E$24) + ROUND($C$18/5, 0) + $E$8</f>
        <v>24</v>
      </c>
      <c r="F28" s="96">
        <f>SUMIFS('04_UC'!$Q$5:$Q$67, '04_UC'!$O$5:$O$67, $A28, '04_UC'!$P$5:$P$67, "Sprint " &amp; F$24) + ($C$18 - ROUND($C$18/5, 0)*4) + $E$8</f>
        <v>24</v>
      </c>
      <c r="G28" s="104">
        <f t="shared" si="7"/>
        <v>120</v>
      </c>
      <c r="H28" s="105"/>
    </row>
    <row r="29" ht="15.75" customHeight="1">
      <c r="A29" s="103" t="str">
        <f t="shared" si="6"/>
        <v>Lê Nhựt Huy</v>
      </c>
      <c r="B29" s="96">
        <f>SUMIFS('04_UC'!$Q$5:$Q$67, '04_UC'!$O$5:$O$67, $A29, '04_UC'!$P$5:$P$67, "Sprint " &amp; B$24) + ROUND($C$19/5, 0) + $E$8</f>
        <v>24</v>
      </c>
      <c r="C29" s="96">
        <f>SUMIFS('04_UC'!$Q$5:$Q$67, '04_UC'!$O$5:$O$67, $A29, '04_UC'!$P$5:$P$67, "Sprint " &amp; C$24) + ROUND($C$19/5, 0) + $E$8</f>
        <v>24</v>
      </c>
      <c r="D29" s="96">
        <f>SUMIFS('04_UC'!$Q$5:$Q$67, '04_UC'!$O$5:$O$67, $A29, '04_UC'!$P$5:$P$67, "Sprint " &amp; D$24) + ROUND($C$19/5, 0) + $E$8</f>
        <v>24</v>
      </c>
      <c r="E29" s="96">
        <f>SUMIFS('04_UC'!$Q$5:$Q$67, '04_UC'!$O$5:$O$67, $A29, '04_UC'!$P$5:$P$67, "Sprint " &amp; E$24) + ROUND($C$19/5, 0) + $E$8</f>
        <v>24</v>
      </c>
      <c r="F29" s="96">
        <f>SUMIFS('04_UC'!$Q$5:$Q$67, '04_UC'!$O$5:$O$67, $A29, '04_UC'!$P$5:$P$67, "Sprint " &amp; F$24) + ($C$19 - ROUND($C$19/5, 0)*4) + $E$8</f>
        <v>24</v>
      </c>
      <c r="G29" s="104">
        <f t="shared" si="7"/>
        <v>120</v>
      </c>
      <c r="H29" s="105"/>
    </row>
    <row r="30" ht="15.75" customHeight="1">
      <c r="A30" s="103" t="str">
        <f t="shared" si="6"/>
        <v>Trần Công Thuận</v>
      </c>
      <c r="B30" s="96">
        <f>SUMIFS('04_UC'!$Q$5:$Q$67, '04_UC'!$O$5:$O$67, $A30, '04_UC'!$P$5:$P$67, "Sprint " &amp; B$24) + ROUND($C$20/5, 0) + $E$8</f>
        <v>24</v>
      </c>
      <c r="C30" s="96">
        <f>SUMIFS('04_UC'!$Q$5:$Q$67, '04_UC'!$O$5:$O$67, $A30, '04_UC'!$P$5:$P$67, "Sprint " &amp; C$24) + ROUND($C$20/5, 0) + $E$8</f>
        <v>24</v>
      </c>
      <c r="D30" s="96">
        <f>SUMIFS('04_UC'!$Q$5:$Q$67, '04_UC'!$O$5:$O$67, $A30, '04_UC'!$P$5:$P$67, "Sprint " &amp; D$24) + ROUND($C$20/5, 0) + $E$8</f>
        <v>24</v>
      </c>
      <c r="E30" s="96">
        <f>SUMIFS('04_UC'!$Q$5:$Q$67, '04_UC'!$O$5:$O$67, $A30, '04_UC'!$P$5:$P$67, "Sprint " &amp; E$24) + ROUND($C$20/5, 0) + $E$8</f>
        <v>24</v>
      </c>
      <c r="F30" s="96">
        <f>SUMIFS('04_UC'!$Q$5:$Q$67, '04_UC'!$O$5:$O$67, $A30, '04_UC'!$P$5:$P$67, "Sprint " &amp; F$24) + ($C$20 - ROUND($C$20/5, 0)*4) + $E$8</f>
        <v>24</v>
      </c>
      <c r="G30" s="104">
        <f t="shared" si="7"/>
        <v>120</v>
      </c>
      <c r="H30" s="105"/>
    </row>
    <row r="31" ht="15.75" customHeight="1">
      <c r="A31" s="106" t="s">
        <v>2197</v>
      </c>
      <c r="B31" s="99">
        <f t="shared" ref="B31:G31" si="8">SUM(B25:B30)</f>
        <v>144</v>
      </c>
      <c r="C31" s="99">
        <f t="shared" si="8"/>
        <v>144</v>
      </c>
      <c r="D31" s="99">
        <f t="shared" si="8"/>
        <v>144</v>
      </c>
      <c r="E31" s="99">
        <f t="shared" si="8"/>
        <v>136</v>
      </c>
      <c r="F31" s="99">
        <f t="shared" si="8"/>
        <v>136</v>
      </c>
      <c r="G31" s="107">
        <f t="shared" si="8"/>
        <v>704</v>
      </c>
      <c r="H31" s="108"/>
    </row>
    <row r="32" ht="15.75" customHeight="1"/>
    <row r="33" ht="21.75" customHeight="1">
      <c r="A33" s="3" t="s">
        <v>4282</v>
      </c>
      <c r="B33" s="4"/>
      <c r="C33" s="4"/>
      <c r="D33" s="4"/>
      <c r="E33" s="4"/>
      <c r="F33" s="4"/>
      <c r="G33" s="4"/>
      <c r="H33" s="109"/>
      <c r="I33" s="4"/>
      <c r="J33" s="4"/>
      <c r="K33" s="4"/>
      <c r="L33" s="4"/>
      <c r="M33" s="4"/>
      <c r="N33" s="4"/>
      <c r="O33" s="4"/>
      <c r="P33" s="4"/>
      <c r="Q33" s="4"/>
    </row>
    <row r="34" ht="15.75" customHeight="1">
      <c r="A34" s="41" t="s">
        <v>4254</v>
      </c>
      <c r="B34" s="101">
        <v>1.0</v>
      </c>
      <c r="C34" s="101">
        <v>2.0</v>
      </c>
      <c r="D34" s="101">
        <v>3.0</v>
      </c>
      <c r="E34" s="101">
        <v>4.0</v>
      </c>
      <c r="F34" s="101">
        <v>5.0</v>
      </c>
      <c r="G34" s="101" t="s">
        <v>4283</v>
      </c>
      <c r="H34" s="102"/>
    </row>
    <row r="35" ht="15.75" customHeight="1">
      <c r="A35" s="103" t="str">
        <f t="shared" ref="A35:A40" si="10">A15</f>
        <v>Lư Hữu Luân</v>
      </c>
      <c r="B35" s="98">
        <f t="shared" ref="B35:F35" si="9">B25/$E$10</f>
        <v>1</v>
      </c>
      <c r="C35" s="98">
        <f t="shared" si="9"/>
        <v>1</v>
      </c>
      <c r="D35" s="98">
        <f t="shared" si="9"/>
        <v>1</v>
      </c>
      <c r="E35" s="98">
        <f t="shared" si="9"/>
        <v>1</v>
      </c>
      <c r="F35" s="98">
        <f t="shared" si="9"/>
        <v>1</v>
      </c>
      <c r="G35" s="110">
        <f t="shared" ref="G35:G40" si="12">G25/($E$10*5)</f>
        <v>1</v>
      </c>
      <c r="H35" s="111"/>
    </row>
    <row r="36" ht="15.75" customHeight="1">
      <c r="A36" s="103" t="str">
        <f t="shared" si="10"/>
        <v>Nguyễn Thành Huy</v>
      </c>
      <c r="B36" s="98">
        <f t="shared" ref="B36:F36" si="11">B26/$E$10</f>
        <v>1</v>
      </c>
      <c r="C36" s="98">
        <f t="shared" si="11"/>
        <v>1</v>
      </c>
      <c r="D36" s="98">
        <f t="shared" si="11"/>
        <v>1</v>
      </c>
      <c r="E36" s="98">
        <f t="shared" si="11"/>
        <v>0.6666666667</v>
      </c>
      <c r="F36" s="98">
        <f t="shared" si="11"/>
        <v>0.6666666667</v>
      </c>
      <c r="G36" s="110">
        <f t="shared" si="12"/>
        <v>0.8666666667</v>
      </c>
      <c r="H36" s="111"/>
    </row>
    <row r="37" ht="15.75" customHeight="1">
      <c r="A37" s="103" t="str">
        <f t="shared" si="10"/>
        <v>Võ Quốc An</v>
      </c>
      <c r="B37" s="98">
        <f t="shared" ref="B37:F37" si="13">B27/$E$10</f>
        <v>1</v>
      </c>
      <c r="C37" s="98">
        <f t="shared" si="13"/>
        <v>1</v>
      </c>
      <c r="D37" s="98">
        <f t="shared" si="13"/>
        <v>1</v>
      </c>
      <c r="E37" s="98">
        <f t="shared" si="13"/>
        <v>1</v>
      </c>
      <c r="F37" s="98">
        <f t="shared" si="13"/>
        <v>1</v>
      </c>
      <c r="G37" s="110">
        <f t="shared" si="12"/>
        <v>1</v>
      </c>
      <c r="H37" s="111"/>
    </row>
    <row r="38" ht="15.75" customHeight="1">
      <c r="A38" s="103" t="str">
        <f t="shared" si="10"/>
        <v>Huỳnh Phi Long</v>
      </c>
      <c r="B38" s="98">
        <f t="shared" ref="B38:F38" si="14">B28/$E$10</f>
        <v>1</v>
      </c>
      <c r="C38" s="98">
        <f t="shared" si="14"/>
        <v>1</v>
      </c>
      <c r="D38" s="98">
        <f t="shared" si="14"/>
        <v>1</v>
      </c>
      <c r="E38" s="98">
        <f t="shared" si="14"/>
        <v>1</v>
      </c>
      <c r="F38" s="98">
        <f t="shared" si="14"/>
        <v>1</v>
      </c>
      <c r="G38" s="110">
        <f t="shared" si="12"/>
        <v>1</v>
      </c>
      <c r="H38" s="111"/>
    </row>
    <row r="39" ht="15.75" customHeight="1">
      <c r="A39" s="103" t="str">
        <f t="shared" si="10"/>
        <v>Lê Nhựt Huy</v>
      </c>
      <c r="B39" s="98">
        <f t="shared" ref="B39:F39" si="15">B29/$E$10</f>
        <v>1</v>
      </c>
      <c r="C39" s="98">
        <f t="shared" si="15"/>
        <v>1</v>
      </c>
      <c r="D39" s="98">
        <f t="shared" si="15"/>
        <v>1</v>
      </c>
      <c r="E39" s="98">
        <f t="shared" si="15"/>
        <v>1</v>
      </c>
      <c r="F39" s="98">
        <f t="shared" si="15"/>
        <v>1</v>
      </c>
      <c r="G39" s="110">
        <f t="shared" si="12"/>
        <v>1</v>
      </c>
      <c r="H39" s="111"/>
    </row>
    <row r="40" ht="15.75" customHeight="1">
      <c r="A40" s="103" t="str">
        <f t="shared" si="10"/>
        <v>Trần Công Thuận</v>
      </c>
      <c r="B40" s="98">
        <f t="shared" ref="B40:F40" si="16">B30/$E$10</f>
        <v>1</v>
      </c>
      <c r="C40" s="98">
        <f t="shared" si="16"/>
        <v>1</v>
      </c>
      <c r="D40" s="98">
        <f t="shared" si="16"/>
        <v>1</v>
      </c>
      <c r="E40" s="98">
        <f t="shared" si="16"/>
        <v>1</v>
      </c>
      <c r="F40" s="98">
        <f t="shared" si="16"/>
        <v>1</v>
      </c>
      <c r="G40" s="110">
        <f t="shared" si="12"/>
        <v>1</v>
      </c>
      <c r="H40" s="111"/>
    </row>
    <row r="41" ht="15.75" customHeight="1">
      <c r="A41" s="106" t="s">
        <v>4284</v>
      </c>
      <c r="B41" s="100">
        <f t="shared" ref="B41:F41" si="17">B31/($E$10*$E$9)</f>
        <v>1</v>
      </c>
      <c r="C41" s="100">
        <f t="shared" si="17"/>
        <v>1</v>
      </c>
      <c r="D41" s="100">
        <f t="shared" si="17"/>
        <v>1</v>
      </c>
      <c r="E41" s="100">
        <f t="shared" si="17"/>
        <v>0.9444444444</v>
      </c>
      <c r="F41" s="100">
        <f t="shared" si="17"/>
        <v>0.9444444444</v>
      </c>
      <c r="G41" s="112">
        <f>G31/($E$10*$E$9*5)</f>
        <v>0.9777777778</v>
      </c>
      <c r="H41" s="113"/>
    </row>
    <row r="42" ht="15.75" customHeight="1"/>
    <row r="43" ht="21.75" customHeight="1">
      <c r="A43" s="94" t="s">
        <v>4285</v>
      </c>
      <c r="B43" s="4"/>
      <c r="C43" s="4"/>
      <c r="D43" s="4"/>
      <c r="E43" s="4"/>
      <c r="F43" s="4"/>
      <c r="G43" s="4"/>
      <c r="H43" s="4"/>
      <c r="I43" s="4"/>
      <c r="J43" s="4"/>
      <c r="K43" s="4"/>
      <c r="L43" s="4"/>
      <c r="M43" s="4"/>
      <c r="N43" s="4"/>
      <c r="O43" s="4"/>
      <c r="P43" s="4"/>
      <c r="Q43" s="4"/>
    </row>
    <row r="44" ht="30.0" customHeight="1">
      <c r="A44" s="41" t="s">
        <v>4286</v>
      </c>
      <c r="B44" s="41" t="s">
        <v>4287</v>
      </c>
      <c r="C44" s="114" t="s">
        <v>4288</v>
      </c>
      <c r="D44" s="15"/>
      <c r="E44" s="16"/>
      <c r="F44" s="114" t="s">
        <v>4289</v>
      </c>
      <c r="G44" s="15"/>
      <c r="H44" s="15"/>
      <c r="I44" s="15"/>
      <c r="J44" s="16"/>
      <c r="K44" s="114" t="s">
        <v>4290</v>
      </c>
      <c r="L44" s="15"/>
      <c r="M44" s="16"/>
      <c r="N44" s="114" t="s">
        <v>4291</v>
      </c>
      <c r="O44" s="16"/>
      <c r="P44" s="41" t="s">
        <v>4255</v>
      </c>
      <c r="Q44" s="41" t="s">
        <v>4256</v>
      </c>
    </row>
    <row r="45" ht="78.0" customHeight="1">
      <c r="A45" s="115">
        <v>1.0</v>
      </c>
      <c r="B45" s="11" t="s">
        <v>4292</v>
      </c>
      <c r="C45" s="116" t="s">
        <v>4293</v>
      </c>
      <c r="D45" s="15"/>
      <c r="E45" s="16"/>
      <c r="F45" s="17" t="s">
        <v>4294</v>
      </c>
      <c r="G45" s="15"/>
      <c r="H45" s="15"/>
      <c r="I45" s="15"/>
      <c r="J45" s="16"/>
      <c r="K45" s="17" t="s">
        <v>4295</v>
      </c>
      <c r="L45" s="15"/>
      <c r="M45" s="16"/>
      <c r="N45" s="17" t="s">
        <v>4296</v>
      </c>
      <c r="O45" s="16"/>
      <c r="P45" s="117">
        <f>SUMIF('04_UC'!$P$5:$P$67, "Sprint " &amp; $A45, '04_UC'!$Q$5:$Q$67)</f>
        <v>98</v>
      </c>
      <c r="Q45" s="117">
        <f>SUM(B25:B30) - P45 - (6 * $E$8)</f>
        <v>22</v>
      </c>
    </row>
    <row r="46" ht="78.0" customHeight="1">
      <c r="A46" s="115">
        <v>2.0</v>
      </c>
      <c r="B46" s="11" t="s">
        <v>4297</v>
      </c>
      <c r="C46" s="116" t="s">
        <v>4298</v>
      </c>
      <c r="D46" s="15"/>
      <c r="E46" s="16"/>
      <c r="F46" s="17" t="s">
        <v>4299</v>
      </c>
      <c r="G46" s="15"/>
      <c r="H46" s="15"/>
      <c r="I46" s="15"/>
      <c r="J46" s="16"/>
      <c r="K46" s="17" t="s">
        <v>4300</v>
      </c>
      <c r="L46" s="15"/>
      <c r="M46" s="16"/>
      <c r="N46" s="17" t="s">
        <v>4301</v>
      </c>
      <c r="O46" s="16"/>
      <c r="P46" s="117">
        <f>SUMIF('04_UC'!$P$5:$P$67, "Sprint " &amp; $A46, '04_UC'!$Q$5:$Q$67)</f>
        <v>98</v>
      </c>
      <c r="Q46" s="117">
        <f>SUM(C25:C30) - P46 - (6 * $E$8)</f>
        <v>22</v>
      </c>
    </row>
    <row r="47" ht="78.0" customHeight="1">
      <c r="A47" s="115">
        <v>3.0</v>
      </c>
      <c r="B47" s="11" t="s">
        <v>4302</v>
      </c>
      <c r="C47" s="116" t="s">
        <v>4303</v>
      </c>
      <c r="D47" s="15"/>
      <c r="E47" s="16"/>
      <c r="F47" s="17" t="s">
        <v>4304</v>
      </c>
      <c r="G47" s="15"/>
      <c r="H47" s="15"/>
      <c r="I47" s="15"/>
      <c r="J47" s="16"/>
      <c r="K47" s="17" t="s">
        <v>4305</v>
      </c>
      <c r="L47" s="15"/>
      <c r="M47" s="16"/>
      <c r="N47" s="17" t="s">
        <v>4306</v>
      </c>
      <c r="O47" s="16"/>
      <c r="P47" s="117">
        <f>SUMIF('04_UC'!$P$5:$P$67, "Sprint " &amp; $A47, '04_UC'!$Q$5:$Q$67)</f>
        <v>98</v>
      </c>
      <c r="Q47" s="117">
        <f>SUM(D25:D30) - P47 - (6 * $E$8)</f>
        <v>22</v>
      </c>
    </row>
    <row r="48" ht="78.0" customHeight="1">
      <c r="A48" s="115">
        <v>4.0</v>
      </c>
      <c r="B48" s="11" t="s">
        <v>4307</v>
      </c>
      <c r="C48" s="116" t="s">
        <v>4308</v>
      </c>
      <c r="D48" s="15"/>
      <c r="E48" s="16"/>
      <c r="F48" s="17" t="s">
        <v>4309</v>
      </c>
      <c r="G48" s="15"/>
      <c r="H48" s="15"/>
      <c r="I48" s="15"/>
      <c r="J48" s="16"/>
      <c r="K48" s="17" t="s">
        <v>4310</v>
      </c>
      <c r="L48" s="15"/>
      <c r="M48" s="16"/>
      <c r="N48" s="17" t="s">
        <v>4311</v>
      </c>
      <c r="O48" s="16"/>
      <c r="P48" s="117">
        <f>SUMIF('04_UC'!$P$5:$P$67, "Sprint " &amp; $A48, '04_UC'!$Q$5:$Q$67)</f>
        <v>90</v>
      </c>
      <c r="Q48" s="117">
        <f>SUM(E25:E30) - P48 - (6 * $E$8)</f>
        <v>22</v>
      </c>
    </row>
    <row r="49" ht="78.0" customHeight="1">
      <c r="A49" s="115">
        <v>5.0</v>
      </c>
      <c r="B49" s="11" t="s">
        <v>4312</v>
      </c>
      <c r="C49" s="116" t="s">
        <v>4313</v>
      </c>
      <c r="D49" s="15"/>
      <c r="E49" s="16"/>
      <c r="F49" s="17" t="s">
        <v>4314</v>
      </c>
      <c r="G49" s="15"/>
      <c r="H49" s="15"/>
      <c r="I49" s="15"/>
      <c r="J49" s="16"/>
      <c r="K49" s="17" t="s">
        <v>4315</v>
      </c>
      <c r="L49" s="15"/>
      <c r="M49" s="16"/>
      <c r="N49" s="17" t="s">
        <v>4316</v>
      </c>
      <c r="O49" s="16"/>
      <c r="P49" s="117">
        <f>SUMIF('04_UC'!$P$5:$P$67, "Sprint " &amp; $A49, '04_UC'!$Q$5:$Q$67)</f>
        <v>90</v>
      </c>
      <c r="Q49" s="117">
        <f>SUM(F25:F30) - P49 - (6 * $E$8)</f>
        <v>22</v>
      </c>
    </row>
    <row r="50" ht="78.0" customHeight="1">
      <c r="A50" s="115" t="s">
        <v>4317</v>
      </c>
      <c r="B50" s="118">
        <f>DATE(2026, 11, 14)</f>
        <v>46340</v>
      </c>
      <c r="C50" s="116" t="s">
        <v>4318</v>
      </c>
      <c r="D50" s="15"/>
      <c r="E50" s="16"/>
      <c r="F50" s="17" t="s">
        <v>4319</v>
      </c>
      <c r="G50" s="15"/>
      <c r="H50" s="15"/>
      <c r="I50" s="15"/>
      <c r="J50" s="16"/>
      <c r="K50" s="17" t="s">
        <v>4320</v>
      </c>
      <c r="L50" s="15"/>
      <c r="M50" s="16"/>
      <c r="N50" s="17" t="s">
        <v>4321</v>
      </c>
      <c r="O50" s="16"/>
      <c r="P50" s="119">
        <v>0.0</v>
      </c>
      <c r="Q50" s="119">
        <v>0.0</v>
      </c>
    </row>
    <row r="51" ht="15.75" customHeight="1">
      <c r="A51" s="30" t="s">
        <v>4322</v>
      </c>
    </row>
    <row r="52" ht="15.75" customHeight="1"/>
    <row r="53" ht="21.75" customHeight="1">
      <c r="A53" s="94" t="s">
        <v>4323</v>
      </c>
      <c r="B53" s="4"/>
      <c r="C53" s="4"/>
      <c r="D53" s="4"/>
      <c r="E53" s="4"/>
      <c r="F53" s="4"/>
      <c r="G53" s="4"/>
      <c r="H53" s="4"/>
      <c r="I53" s="4"/>
      <c r="J53" s="4"/>
      <c r="K53" s="4"/>
      <c r="L53" s="4"/>
      <c r="M53" s="4"/>
      <c r="N53" s="4"/>
      <c r="O53" s="4"/>
      <c r="P53" s="4"/>
      <c r="Q53" s="4"/>
    </row>
    <row r="54" ht="33.75" customHeight="1">
      <c r="A54" s="120" t="s">
        <v>4324</v>
      </c>
      <c r="B54" s="17" t="s">
        <v>4325</v>
      </c>
      <c r="C54" s="15"/>
      <c r="D54" s="15"/>
      <c r="E54" s="15"/>
      <c r="F54" s="15"/>
      <c r="G54" s="15"/>
      <c r="H54" s="15"/>
      <c r="I54" s="15"/>
      <c r="J54" s="15"/>
      <c r="K54" s="15"/>
      <c r="L54" s="15"/>
      <c r="M54" s="15"/>
      <c r="N54" s="15"/>
      <c r="O54" s="15"/>
      <c r="P54" s="15"/>
      <c r="Q54" s="16"/>
    </row>
    <row r="55" ht="33.75" customHeight="1">
      <c r="A55" s="120" t="s">
        <v>4326</v>
      </c>
      <c r="B55" s="17" t="s">
        <v>4327</v>
      </c>
      <c r="C55" s="15"/>
      <c r="D55" s="15"/>
      <c r="E55" s="15"/>
      <c r="F55" s="15"/>
      <c r="G55" s="15"/>
      <c r="H55" s="15"/>
      <c r="I55" s="15"/>
      <c r="J55" s="15"/>
      <c r="K55" s="15"/>
      <c r="L55" s="15"/>
      <c r="M55" s="15"/>
      <c r="N55" s="15"/>
      <c r="O55" s="15"/>
      <c r="P55" s="15"/>
      <c r="Q55" s="16"/>
    </row>
    <row r="56" ht="33.75" customHeight="1">
      <c r="A56" s="120" t="s">
        <v>4328</v>
      </c>
      <c r="B56" s="17" t="s">
        <v>4329</v>
      </c>
      <c r="C56" s="15"/>
      <c r="D56" s="15"/>
      <c r="E56" s="15"/>
      <c r="F56" s="15"/>
      <c r="G56" s="15"/>
      <c r="H56" s="15"/>
      <c r="I56" s="15"/>
      <c r="J56" s="15"/>
      <c r="K56" s="15"/>
      <c r="L56" s="15"/>
      <c r="M56" s="15"/>
      <c r="N56" s="15"/>
      <c r="O56" s="15"/>
      <c r="P56" s="15"/>
      <c r="Q56" s="16"/>
    </row>
    <row r="57" ht="33.75" customHeight="1">
      <c r="A57" s="120" t="s">
        <v>4330</v>
      </c>
      <c r="B57" s="17" t="s">
        <v>4331</v>
      </c>
      <c r="C57" s="15"/>
      <c r="D57" s="15"/>
      <c r="E57" s="15"/>
      <c r="F57" s="15"/>
      <c r="G57" s="15"/>
      <c r="H57" s="15"/>
      <c r="I57" s="15"/>
      <c r="J57" s="15"/>
      <c r="K57" s="15"/>
      <c r="L57" s="15"/>
      <c r="M57" s="15"/>
      <c r="N57" s="15"/>
      <c r="O57" s="15"/>
      <c r="P57" s="15"/>
      <c r="Q57" s="16"/>
    </row>
    <row r="58" ht="33.75" customHeight="1">
      <c r="A58" s="120" t="s">
        <v>4332</v>
      </c>
      <c r="B58" s="17" t="s">
        <v>4333</v>
      </c>
      <c r="C58" s="15"/>
      <c r="D58" s="15"/>
      <c r="E58" s="15"/>
      <c r="F58" s="15"/>
      <c r="G58" s="15"/>
      <c r="H58" s="15"/>
      <c r="I58" s="15"/>
      <c r="J58" s="15"/>
      <c r="K58" s="15"/>
      <c r="L58" s="15"/>
      <c r="M58" s="15"/>
      <c r="N58" s="15"/>
      <c r="O58" s="15"/>
      <c r="P58" s="15"/>
      <c r="Q58" s="16"/>
    </row>
    <row r="59" ht="33.75" customHeight="1">
      <c r="A59" s="120" t="s">
        <v>4334</v>
      </c>
      <c r="B59" s="17" t="s">
        <v>4335</v>
      </c>
      <c r="C59" s="15"/>
      <c r="D59" s="15"/>
      <c r="E59" s="15"/>
      <c r="F59" s="15"/>
      <c r="G59" s="15"/>
      <c r="H59" s="15"/>
      <c r="I59" s="15"/>
      <c r="J59" s="15"/>
      <c r="K59" s="15"/>
      <c r="L59" s="15"/>
      <c r="M59" s="15"/>
      <c r="N59" s="15"/>
      <c r="O59" s="15"/>
      <c r="P59" s="15"/>
      <c r="Q59" s="16"/>
    </row>
    <row r="60" ht="33.75" customHeight="1">
      <c r="A60" s="120" t="s">
        <v>2778</v>
      </c>
      <c r="B60" s="17" t="s">
        <v>4336</v>
      </c>
      <c r="C60" s="15"/>
      <c r="D60" s="15"/>
      <c r="E60" s="15"/>
      <c r="F60" s="15"/>
      <c r="G60" s="15"/>
      <c r="H60" s="15"/>
      <c r="I60" s="15"/>
      <c r="J60" s="15"/>
      <c r="K60" s="15"/>
      <c r="L60" s="15"/>
      <c r="M60" s="15"/>
      <c r="N60" s="15"/>
      <c r="O60" s="15"/>
      <c r="P60" s="15"/>
      <c r="Q60" s="16"/>
    </row>
    <row r="61" ht="15.75" customHeight="1"/>
    <row r="62" ht="21.75" customHeight="1">
      <c r="A62" s="94" t="s">
        <v>4337</v>
      </c>
      <c r="B62" s="4"/>
      <c r="C62" s="4"/>
      <c r="D62" s="4"/>
      <c r="E62" s="4"/>
      <c r="F62" s="4"/>
      <c r="G62" s="4"/>
      <c r="H62" s="4"/>
      <c r="I62" s="4"/>
      <c r="J62" s="4"/>
      <c r="K62" s="4"/>
      <c r="L62" s="4"/>
      <c r="M62" s="4"/>
      <c r="N62" s="4"/>
      <c r="O62" s="4"/>
      <c r="P62" s="4"/>
      <c r="Q62" s="4"/>
    </row>
    <row r="63" ht="15.0" customHeight="1">
      <c r="A63" s="41" t="s">
        <v>111</v>
      </c>
      <c r="B63" s="114" t="s">
        <v>449</v>
      </c>
      <c r="C63" s="16"/>
      <c r="D63" s="41" t="s">
        <v>4338</v>
      </c>
      <c r="E63" s="41" t="s">
        <v>4339</v>
      </c>
      <c r="F63" s="121">
        <v>1.0</v>
      </c>
      <c r="G63" s="121">
        <v>2.0</v>
      </c>
      <c r="H63" s="121">
        <v>3.0</v>
      </c>
      <c r="I63" s="121">
        <v>4.0</v>
      </c>
      <c r="J63" s="121">
        <v>5.0</v>
      </c>
      <c r="K63" s="122" t="s">
        <v>4317</v>
      </c>
      <c r="L63" s="123"/>
      <c r="M63" s="123"/>
      <c r="N63" s="123"/>
      <c r="O63" s="123"/>
      <c r="P63" s="123"/>
      <c r="Q63" s="123"/>
    </row>
    <row r="64" ht="15.0" customHeight="1">
      <c r="A64" s="103" t="s">
        <v>115</v>
      </c>
      <c r="B64" s="14" t="s">
        <v>116</v>
      </c>
      <c r="C64" s="16"/>
      <c r="D64" s="124">
        <f>IFERROR(__xludf.DUMMYFUNCTION("IFERROR((MIN(FILTER(VALUE(SUBSTITUTE('04_UC'!$P$5:$P$67, ""Sprint "", """")), '04_UC'!$C$5:$C$67=$A64)) - 1) * $E$7 + 1, """")"),1.0)</f>
        <v>1</v>
      </c>
      <c r="E64" s="124">
        <f>IFERROR(__xludf.DUMMYFUNCTION("IFERROR(MAX(FILTER(VALUE(SUBSTITUTE('04_UC'!$P$5:$P$67, ""Sprint "", """")), '04_UC'!$C$5:$C$67=$A64)) * $E$7, """")"),5.0)</f>
        <v>5</v>
      </c>
      <c r="F64" s="68"/>
      <c r="G64" s="68"/>
      <c r="H64" s="68"/>
      <c r="I64" s="68"/>
      <c r="J64" s="68"/>
      <c r="K64" s="68"/>
      <c r="L64" s="125"/>
      <c r="M64" s="125"/>
      <c r="N64" s="125"/>
      <c r="O64" s="125"/>
      <c r="P64" s="125"/>
      <c r="Q64" s="125"/>
    </row>
    <row r="65" ht="15.0" customHeight="1">
      <c r="A65" s="103" t="s">
        <v>117</v>
      </c>
      <c r="B65" s="14" t="s">
        <v>118</v>
      </c>
      <c r="C65" s="16"/>
      <c r="D65" s="124">
        <f>IFERROR(__xludf.DUMMYFUNCTION("IFERROR((MIN(FILTER(VALUE(SUBSTITUTE('04_UC'!$P$5:$P$67, ""Sprint "", """")), '04_UC'!$C$5:$C$67=$A65)) - 1) * $E$7 + 1, """")"),1.0)</f>
        <v>1</v>
      </c>
      <c r="E65" s="124">
        <f>IFERROR(__xludf.DUMMYFUNCTION("IFERROR(MAX(FILTER(VALUE(SUBSTITUTE('04_UC'!$P$5:$P$67, ""Sprint "", """")), '04_UC'!$C$5:$C$67=$A65)) * $E$7, """")"),4.0)</f>
        <v>4</v>
      </c>
      <c r="F65" s="68"/>
      <c r="G65" s="68"/>
      <c r="H65" s="68"/>
      <c r="I65" s="68"/>
      <c r="J65" s="68"/>
      <c r="K65" s="68"/>
      <c r="L65" s="125"/>
      <c r="M65" s="125"/>
      <c r="N65" s="125"/>
      <c r="O65" s="125"/>
      <c r="P65" s="125"/>
      <c r="Q65" s="125"/>
    </row>
    <row r="66" ht="15.0" customHeight="1">
      <c r="A66" s="103" t="s">
        <v>119</v>
      </c>
      <c r="B66" s="14" t="s">
        <v>120</v>
      </c>
      <c r="C66" s="16"/>
      <c r="D66" s="124">
        <f>IFERROR(__xludf.DUMMYFUNCTION("IFERROR((MIN(FILTER(VALUE(SUBSTITUTE('04_UC'!$P$5:$P$67, ""Sprint "", """")), '04_UC'!$C$5:$C$67=$A66)) - 1) * $E$7 + 1, """")"),1.0)</f>
        <v>1</v>
      </c>
      <c r="E66" s="124">
        <f>IFERROR(__xludf.DUMMYFUNCTION("IFERROR(MAX(FILTER(VALUE(SUBSTITUTE('04_UC'!$P$5:$P$67, ""Sprint "", """")), '04_UC'!$C$5:$C$67=$A66)) * $E$7, """")"),5.0)</f>
        <v>5</v>
      </c>
      <c r="F66" s="68"/>
      <c r="G66" s="68"/>
      <c r="H66" s="68"/>
      <c r="I66" s="68"/>
      <c r="J66" s="68"/>
      <c r="K66" s="68"/>
      <c r="L66" s="125"/>
      <c r="M66" s="125"/>
      <c r="N66" s="125"/>
      <c r="O66" s="125"/>
      <c r="P66" s="125"/>
      <c r="Q66" s="125"/>
    </row>
    <row r="67" ht="15.0" customHeight="1">
      <c r="A67" s="103" t="s">
        <v>121</v>
      </c>
      <c r="B67" s="14" t="s">
        <v>122</v>
      </c>
      <c r="C67" s="16"/>
      <c r="D67" s="124">
        <f>IFERROR(__xludf.DUMMYFUNCTION("IFERROR((MIN(FILTER(VALUE(SUBSTITUTE('04_UC'!$P$5:$P$67, ""Sprint "", """")), '04_UC'!$C$5:$C$67=$A67)) - 1) * $E$7 + 1, """")"),1.0)</f>
        <v>1</v>
      </c>
      <c r="E67" s="124">
        <f>IFERROR(__xludf.DUMMYFUNCTION("IFERROR(MAX(FILTER(VALUE(SUBSTITUTE('04_UC'!$P$5:$P$67, ""Sprint "", """")), '04_UC'!$C$5:$C$67=$A67)) * $E$7, """")"),4.0)</f>
        <v>4</v>
      </c>
      <c r="F67" s="68"/>
      <c r="G67" s="68"/>
      <c r="H67" s="68"/>
      <c r="I67" s="68"/>
      <c r="J67" s="68"/>
      <c r="K67" s="68"/>
      <c r="L67" s="125"/>
      <c r="M67" s="125"/>
      <c r="N67" s="125"/>
      <c r="O67" s="125"/>
      <c r="P67" s="125"/>
      <c r="Q67" s="125"/>
    </row>
    <row r="68" ht="15.0" customHeight="1">
      <c r="A68" s="103" t="s">
        <v>123</v>
      </c>
      <c r="B68" s="14" t="s">
        <v>124</v>
      </c>
      <c r="C68" s="16"/>
      <c r="D68" s="124">
        <f>IFERROR(__xludf.DUMMYFUNCTION("IFERROR((MIN(FILTER(VALUE(SUBSTITUTE('04_UC'!$P$5:$P$67, ""Sprint "", """")), '04_UC'!$C$5:$C$67=$A68)) - 1) * $E$7 + 1, """")"),3.0)</f>
        <v>3</v>
      </c>
      <c r="E68" s="124">
        <f>IFERROR(__xludf.DUMMYFUNCTION("IFERROR(MAX(FILTER(VALUE(SUBSTITUTE('04_UC'!$P$5:$P$67, ""Sprint "", """")), '04_UC'!$C$5:$C$67=$A68)) * $E$7, """")"),3.0)</f>
        <v>3</v>
      </c>
      <c r="F68" s="68"/>
      <c r="G68" s="68"/>
      <c r="H68" s="68"/>
      <c r="I68" s="68"/>
      <c r="J68" s="68"/>
      <c r="K68" s="68"/>
      <c r="L68" s="125"/>
      <c r="M68" s="125"/>
      <c r="N68" s="125"/>
      <c r="O68" s="125"/>
      <c r="P68" s="125"/>
      <c r="Q68" s="125"/>
    </row>
    <row r="69" ht="15.0" customHeight="1">
      <c r="A69" s="103" t="s">
        <v>125</v>
      </c>
      <c r="B69" s="14" t="s">
        <v>126</v>
      </c>
      <c r="C69" s="16"/>
      <c r="D69" s="124">
        <f>IFERROR(__xludf.DUMMYFUNCTION("IFERROR((MIN(FILTER(VALUE(SUBSTITUTE('04_UC'!$P$5:$P$67, ""Sprint "", """")), '04_UC'!$C$5:$C$67=$A69)) - 1) * $E$7 + 1, """")"),1.0)</f>
        <v>1</v>
      </c>
      <c r="E69" s="124">
        <f>IFERROR(__xludf.DUMMYFUNCTION("IFERROR(MAX(FILTER(VALUE(SUBSTITUTE('04_UC'!$P$5:$P$67, ""Sprint "", """")), '04_UC'!$C$5:$C$67=$A69)) * $E$7, """")"),1.0)</f>
        <v>1</v>
      </c>
      <c r="F69" s="68"/>
      <c r="G69" s="68"/>
      <c r="H69" s="68"/>
      <c r="I69" s="68"/>
      <c r="J69" s="68"/>
      <c r="K69" s="68"/>
      <c r="L69" s="125"/>
      <c r="M69" s="125"/>
      <c r="N69" s="125"/>
      <c r="O69" s="125"/>
      <c r="P69" s="125"/>
      <c r="Q69" s="125"/>
    </row>
    <row r="70" ht="15.0" customHeight="1">
      <c r="A70" s="103" t="s">
        <v>127</v>
      </c>
      <c r="B70" s="14" t="s">
        <v>128</v>
      </c>
      <c r="C70" s="16"/>
      <c r="D70" s="124">
        <f>IFERROR(__xludf.DUMMYFUNCTION("IFERROR((MIN(FILTER(VALUE(SUBSTITUTE('04_UC'!$P$5:$P$67, ""Sprint "", """")), '04_UC'!$C$5:$C$67=$A70)) - 1) * $E$7 + 1, """")"),1.0)</f>
        <v>1</v>
      </c>
      <c r="E70" s="124">
        <f>IFERROR(__xludf.DUMMYFUNCTION("IFERROR(MAX(FILTER(VALUE(SUBSTITUTE('04_UC'!$P$5:$P$67, ""Sprint "", """")), '04_UC'!$C$5:$C$67=$A70)) * $E$7, """")"),4.0)</f>
        <v>4</v>
      </c>
      <c r="F70" s="68"/>
      <c r="G70" s="68"/>
      <c r="H70" s="68"/>
      <c r="I70" s="68"/>
      <c r="J70" s="68"/>
      <c r="K70" s="68"/>
      <c r="L70" s="125"/>
      <c r="M70" s="125"/>
      <c r="N70" s="125"/>
      <c r="O70" s="125"/>
      <c r="P70" s="125"/>
      <c r="Q70" s="125"/>
    </row>
    <row r="71" ht="15.0" customHeight="1">
      <c r="A71" s="103" t="s">
        <v>129</v>
      </c>
      <c r="B71" s="14" t="s">
        <v>130</v>
      </c>
      <c r="C71" s="16"/>
      <c r="D71" s="124">
        <f>IFERROR(__xludf.DUMMYFUNCTION("IFERROR((MIN(FILTER(VALUE(SUBSTITUTE('04_UC'!$P$5:$P$67, ""Sprint "", """")), '04_UC'!$C$5:$C$67=$A71)) - 1) * $E$7 + 1, """")"),4.0)</f>
        <v>4</v>
      </c>
      <c r="E71" s="124">
        <f>IFERROR(__xludf.DUMMYFUNCTION("IFERROR(MAX(FILTER(VALUE(SUBSTITUTE('04_UC'!$P$5:$P$67, ""Sprint "", """")), '04_UC'!$C$5:$C$67=$A71)) * $E$7, """")"),5.0)</f>
        <v>5</v>
      </c>
      <c r="F71" s="68"/>
      <c r="G71" s="68"/>
      <c r="H71" s="68"/>
      <c r="I71" s="68"/>
      <c r="J71" s="68"/>
      <c r="K71" s="68"/>
      <c r="L71" s="125"/>
      <c r="M71" s="125"/>
      <c r="N71" s="125"/>
      <c r="O71" s="125"/>
      <c r="P71" s="125"/>
      <c r="Q71" s="125"/>
    </row>
    <row r="72" ht="15.0" customHeight="1">
      <c r="A72" s="103" t="s">
        <v>131</v>
      </c>
      <c r="B72" s="14" t="s">
        <v>132</v>
      </c>
      <c r="C72" s="16"/>
      <c r="D72" s="124">
        <f>IFERROR(__xludf.DUMMYFUNCTION("IFERROR((MIN(FILTER(VALUE(SUBSTITUTE('04_UC'!$P$5:$P$67, ""Sprint "", """")), '04_UC'!$C$5:$C$67=$A72)) - 1) * $E$7 + 1, """")"),1.0)</f>
        <v>1</v>
      </c>
      <c r="E72" s="124">
        <f>IFERROR(__xludf.DUMMYFUNCTION("IFERROR(MAX(FILTER(VALUE(SUBSTITUTE('04_UC'!$P$5:$P$67, ""Sprint "", """")), '04_UC'!$C$5:$C$67=$A72)) * $E$7, """")"),5.0)</f>
        <v>5</v>
      </c>
      <c r="F72" s="68"/>
      <c r="G72" s="68"/>
      <c r="H72" s="68"/>
      <c r="I72" s="68"/>
      <c r="J72" s="68"/>
      <c r="K72" s="68"/>
      <c r="L72" s="125"/>
      <c r="M72" s="125"/>
      <c r="N72" s="125"/>
      <c r="O72" s="125"/>
      <c r="P72" s="125"/>
      <c r="Q72" s="125"/>
    </row>
    <row r="73" ht="15.0" customHeight="1">
      <c r="A73" s="103" t="s">
        <v>133</v>
      </c>
      <c r="B73" s="14" t="s">
        <v>134</v>
      </c>
      <c r="C73" s="16"/>
      <c r="D73" s="124">
        <f>IFERROR(__xludf.DUMMYFUNCTION("IFERROR((MIN(FILTER(VALUE(SUBSTITUTE('04_UC'!$P$5:$P$67, ""Sprint "", """")), '04_UC'!$C$5:$C$67=$A73)) - 1) * $E$7 + 1, """")"),3.0)</f>
        <v>3</v>
      </c>
      <c r="E73" s="124">
        <f>IFERROR(__xludf.DUMMYFUNCTION("IFERROR(MAX(FILTER(VALUE(SUBSTITUTE('04_UC'!$P$5:$P$67, ""Sprint "", """")), '04_UC'!$C$5:$C$67=$A73)) * $E$7, """")"),3.0)</f>
        <v>3</v>
      </c>
      <c r="F73" s="68"/>
      <c r="G73" s="68"/>
      <c r="H73" s="68"/>
      <c r="I73" s="68"/>
      <c r="J73" s="68"/>
      <c r="K73" s="68"/>
      <c r="L73" s="125"/>
      <c r="M73" s="125"/>
      <c r="N73" s="125"/>
      <c r="O73" s="125"/>
      <c r="P73" s="125"/>
      <c r="Q73" s="125"/>
    </row>
    <row r="74" ht="15.0" customHeight="1">
      <c r="A74" s="103" t="s">
        <v>135</v>
      </c>
      <c r="B74" s="14" t="s">
        <v>136</v>
      </c>
      <c r="C74" s="16"/>
      <c r="D74" s="124">
        <f>IFERROR(__xludf.DUMMYFUNCTION("IFERROR((MIN(FILTER(VALUE(SUBSTITUTE('04_UC'!$P$5:$P$67, ""Sprint "", """")), '04_UC'!$C$5:$C$67=$A74)) - 1) * $E$7 + 1, """")"),2.0)</f>
        <v>2</v>
      </c>
      <c r="E74" s="124">
        <f>IFERROR(__xludf.DUMMYFUNCTION("IFERROR(MAX(FILTER(VALUE(SUBSTITUTE('04_UC'!$P$5:$P$67, ""Sprint "", """")), '04_UC'!$C$5:$C$67=$A74)) * $E$7, """")"),5.0)</f>
        <v>5</v>
      </c>
      <c r="F74" s="68"/>
      <c r="G74" s="68"/>
      <c r="H74" s="68"/>
      <c r="I74" s="68"/>
      <c r="J74" s="68"/>
      <c r="K74" s="68"/>
      <c r="L74" s="125"/>
      <c r="M74" s="125"/>
      <c r="N74" s="125"/>
      <c r="O74" s="125"/>
      <c r="P74" s="125"/>
      <c r="Q74" s="125"/>
    </row>
    <row r="75" ht="15.0" customHeight="1">
      <c r="A75" s="103" t="s">
        <v>137</v>
      </c>
      <c r="B75" s="14" t="s">
        <v>138</v>
      </c>
      <c r="C75" s="16"/>
      <c r="D75" s="124">
        <f>IFERROR(__xludf.DUMMYFUNCTION("IFERROR((MIN(FILTER(VALUE(SUBSTITUTE('04_UC'!$P$5:$P$67, ""Sprint "", """")), '04_UC'!$C$5:$C$67=$A75)) - 1) * $E$7 + 1, """")"),3.0)</f>
        <v>3</v>
      </c>
      <c r="E75" s="124">
        <f>IFERROR(__xludf.DUMMYFUNCTION("IFERROR(MAX(FILTER(VALUE(SUBSTITUTE('04_UC'!$P$5:$P$67, ""Sprint "", """")), '04_UC'!$C$5:$C$67=$A75)) * $E$7, """")"),5.0)</f>
        <v>5</v>
      </c>
      <c r="F75" s="68"/>
      <c r="G75" s="68"/>
      <c r="H75" s="68"/>
      <c r="I75" s="68"/>
      <c r="J75" s="68"/>
      <c r="K75" s="68"/>
      <c r="L75" s="125"/>
      <c r="M75" s="125"/>
      <c r="N75" s="125"/>
      <c r="O75" s="125"/>
      <c r="P75" s="125"/>
      <c r="Q75" s="125"/>
    </row>
    <row r="76" ht="15.0" customHeight="1">
      <c r="A76" s="103" t="s">
        <v>139</v>
      </c>
      <c r="B76" s="14" t="s">
        <v>140</v>
      </c>
      <c r="C76" s="16"/>
      <c r="D76" s="124">
        <f>IFERROR(__xludf.DUMMYFUNCTION("IFERROR((MIN(FILTER(VALUE(SUBSTITUTE('04_UC'!$P$5:$P$67, ""Sprint "", """")), '04_UC'!$C$5:$C$67=$A76)) - 1) * $E$7 + 1, """")"),1.0)</f>
        <v>1</v>
      </c>
      <c r="E76" s="124">
        <f>IFERROR(__xludf.DUMMYFUNCTION("IFERROR(MAX(FILTER(VALUE(SUBSTITUTE('04_UC'!$P$5:$P$67, ""Sprint "", """")), '04_UC'!$C$5:$C$67=$A76)) * $E$7, """")"),1.0)</f>
        <v>1</v>
      </c>
      <c r="F76" s="68"/>
      <c r="G76" s="68"/>
      <c r="H76" s="68"/>
      <c r="I76" s="68"/>
      <c r="J76" s="68"/>
      <c r="K76" s="68"/>
      <c r="L76" s="125"/>
      <c r="M76" s="125"/>
      <c r="N76" s="125"/>
      <c r="O76" s="125"/>
      <c r="P76" s="125"/>
      <c r="Q76" s="125"/>
    </row>
    <row r="77" ht="15.0" customHeight="1">
      <c r="A77" s="103" t="s">
        <v>141</v>
      </c>
      <c r="B77" s="14" t="s">
        <v>142</v>
      </c>
      <c r="C77" s="16"/>
      <c r="D77" s="124">
        <f>IFERROR(__xludf.DUMMYFUNCTION("IFERROR((MIN(FILTER(VALUE(SUBSTITUTE('04_UC'!$P$5:$P$67, ""Sprint "", """")), '04_UC'!$C$5:$C$67=$A77)) - 1) * $E$7 + 1, """")"),2.0)</f>
        <v>2</v>
      </c>
      <c r="E77" s="124">
        <f>IFERROR(__xludf.DUMMYFUNCTION("IFERROR(MAX(FILTER(VALUE(SUBSTITUTE('04_UC'!$P$5:$P$67, ""Sprint "", """")), '04_UC'!$C$5:$C$67=$A77)) * $E$7, """")"),4.0)</f>
        <v>4</v>
      </c>
      <c r="F77" s="68"/>
      <c r="G77" s="68"/>
      <c r="H77" s="68"/>
      <c r="I77" s="68"/>
      <c r="J77" s="68"/>
      <c r="K77" s="68"/>
      <c r="L77" s="125"/>
      <c r="M77" s="125"/>
      <c r="N77" s="125"/>
      <c r="O77" s="125"/>
      <c r="P77" s="125"/>
      <c r="Q77" s="125"/>
    </row>
    <row r="78" ht="15.0" customHeight="1">
      <c r="A78" s="103" t="s">
        <v>143</v>
      </c>
      <c r="B78" s="14" t="s">
        <v>144</v>
      </c>
      <c r="C78" s="16"/>
      <c r="D78" s="124">
        <f>IFERROR(__xludf.DUMMYFUNCTION("IFERROR((MIN(FILTER(VALUE(SUBSTITUTE('04_UC'!$P$5:$P$67, ""Sprint "", """")), '04_UC'!$C$5:$C$67=$A78)) - 1) * $E$7 + 1, """")"),1.0)</f>
        <v>1</v>
      </c>
      <c r="E78" s="124">
        <f>IFERROR(__xludf.DUMMYFUNCTION("IFERROR(MAX(FILTER(VALUE(SUBSTITUTE('04_UC'!$P$5:$P$67, ""Sprint "", """")), '04_UC'!$C$5:$C$67=$A78)) * $E$7, """")"),5.0)</f>
        <v>5</v>
      </c>
      <c r="F78" s="68"/>
      <c r="G78" s="68"/>
      <c r="H78" s="68"/>
      <c r="I78" s="68"/>
      <c r="J78" s="68"/>
      <c r="K78" s="68"/>
      <c r="L78" s="125"/>
      <c r="M78" s="125"/>
      <c r="N78" s="125"/>
      <c r="O78" s="125"/>
      <c r="P78" s="125"/>
      <c r="Q78" s="125"/>
    </row>
    <row r="79" ht="15.0" customHeight="1">
      <c r="A79" s="103" t="s">
        <v>145</v>
      </c>
      <c r="B79" s="14" t="s">
        <v>146</v>
      </c>
      <c r="C79" s="16"/>
      <c r="D79" s="124">
        <f>IFERROR(__xludf.DUMMYFUNCTION("IFERROR((MIN(FILTER(VALUE(SUBSTITUTE('04_UC'!$P$5:$P$67, ""Sprint "", """")), '04_UC'!$C$5:$C$67=$A79)) - 1) * $E$7 + 1, """")"),5.0)</f>
        <v>5</v>
      </c>
      <c r="E79" s="124">
        <f>IFERROR(__xludf.DUMMYFUNCTION("IFERROR(MAX(FILTER(VALUE(SUBSTITUTE('04_UC'!$P$5:$P$67, ""Sprint "", """")), '04_UC'!$C$5:$C$67=$A79)) * $E$7, """")"),5.0)</f>
        <v>5</v>
      </c>
      <c r="F79" s="68"/>
      <c r="G79" s="68"/>
      <c r="H79" s="68"/>
      <c r="I79" s="68"/>
      <c r="J79" s="68"/>
      <c r="K79" s="68"/>
      <c r="L79" s="125"/>
      <c r="M79" s="125"/>
      <c r="N79" s="125"/>
      <c r="O79" s="125"/>
      <c r="P79" s="125"/>
      <c r="Q79" s="125"/>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3">
    <mergeCell ref="C47:E47"/>
    <mergeCell ref="F47:J47"/>
    <mergeCell ref="K47:M47"/>
    <mergeCell ref="N47:O47"/>
    <mergeCell ref="F48:J48"/>
    <mergeCell ref="K48:M48"/>
    <mergeCell ref="N48:O48"/>
    <mergeCell ref="C48:E48"/>
    <mergeCell ref="C49:E49"/>
    <mergeCell ref="F49:J49"/>
    <mergeCell ref="K49:M49"/>
    <mergeCell ref="N49:O49"/>
    <mergeCell ref="C50:E50"/>
    <mergeCell ref="F50:J50"/>
    <mergeCell ref="K50:M50"/>
    <mergeCell ref="N50:O50"/>
    <mergeCell ref="B54:Q54"/>
    <mergeCell ref="B55:Q55"/>
    <mergeCell ref="B56:Q56"/>
    <mergeCell ref="B57:Q57"/>
    <mergeCell ref="B58:Q58"/>
    <mergeCell ref="B59:Q59"/>
    <mergeCell ref="B60:Q60"/>
    <mergeCell ref="B63:C63"/>
    <mergeCell ref="B64:C64"/>
    <mergeCell ref="B65:C65"/>
    <mergeCell ref="B66:C66"/>
    <mergeCell ref="B67:C67"/>
    <mergeCell ref="I17:K17"/>
    <mergeCell ref="I18:K18"/>
    <mergeCell ref="I19:K19"/>
    <mergeCell ref="I20:K20"/>
    <mergeCell ref="F44:J44"/>
    <mergeCell ref="K44:M44"/>
    <mergeCell ref="N44:O44"/>
    <mergeCell ref="L18:Q18"/>
    <mergeCell ref="L19:Q19"/>
    <mergeCell ref="L20:Q20"/>
    <mergeCell ref="I14:K14"/>
    <mergeCell ref="L14:Q14"/>
    <mergeCell ref="I15:K15"/>
    <mergeCell ref="L15:Q15"/>
    <mergeCell ref="I16:K16"/>
    <mergeCell ref="L16:Q16"/>
    <mergeCell ref="L17:Q17"/>
    <mergeCell ref="A5:D5"/>
    <mergeCell ref="A6:D6"/>
    <mergeCell ref="A7:D7"/>
    <mergeCell ref="A8:D8"/>
    <mergeCell ref="A9:D9"/>
    <mergeCell ref="A10:D10"/>
    <mergeCell ref="A11:D11"/>
    <mergeCell ref="K46:M46"/>
    <mergeCell ref="N46:O46"/>
    <mergeCell ref="C44:E44"/>
    <mergeCell ref="C45:E45"/>
    <mergeCell ref="F45:J45"/>
    <mergeCell ref="K45:M45"/>
    <mergeCell ref="N45:O45"/>
    <mergeCell ref="C46:E46"/>
    <mergeCell ref="F46:J46"/>
    <mergeCell ref="B75:C75"/>
    <mergeCell ref="B76:C76"/>
    <mergeCell ref="B77:C77"/>
    <mergeCell ref="B78:C78"/>
    <mergeCell ref="B79:C79"/>
    <mergeCell ref="B68:C68"/>
    <mergeCell ref="B69:C69"/>
    <mergeCell ref="B70:C70"/>
    <mergeCell ref="B71:C71"/>
    <mergeCell ref="B72:C72"/>
    <mergeCell ref="B73:C73"/>
    <mergeCell ref="B74:C74"/>
  </mergeCells>
  <conditionalFormatting sqref="G15:G21">
    <cfRule type="expression" dxfId="0" priority="1" stopIfTrue="1">
      <formula>G15&gt;1.05</formula>
    </cfRule>
  </conditionalFormatting>
  <conditionalFormatting sqref="G15:G21">
    <cfRule type="expression" dxfId="2" priority="2">
      <formula>AND(G15&gt;1,G15&lt;=1.05)</formula>
    </cfRule>
  </conditionalFormatting>
  <conditionalFormatting sqref="B35:G41">
    <cfRule type="expression" dxfId="0" priority="3" stopIfTrue="1">
      <formula>B35&gt;1.05</formula>
    </cfRule>
  </conditionalFormatting>
  <conditionalFormatting sqref="B35:G41">
    <cfRule type="expression" dxfId="2" priority="4" stopIfTrue="1">
      <formula>AND(B35&gt;1,B35&lt;=1.05)</formula>
    </cfRule>
  </conditionalFormatting>
  <conditionalFormatting sqref="F64:J79">
    <cfRule type="expression" dxfId="3" priority="5" stopIfTrue="1">
      <formula>AND(ISNUMBER($D64),F$63&gt;=$D64,F$63&lt;=$E64)</formula>
    </cfRule>
  </conditionalFormatting>
  <printOptions/>
  <pageMargins bottom="1.0" footer="0.0" header="0.0" left="0.75" right="0.75" top="1.0"/>
  <pageSetup fitToHeight="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7.71"/>
    <col customWidth="1" min="3" max="3" width="16.57"/>
    <col customWidth="1" min="4" max="5" width="37.71"/>
    <col customWidth="1" min="17" max="18" width="37.71"/>
    <col customWidth="1" min="19" max="19" width="16.57"/>
    <col customWidth="1" min="20" max="21" width="37.71"/>
  </cols>
  <sheetData>
    <row r="1" ht="22.5" customHeight="1">
      <c r="A1" s="126" t="s">
        <v>4340</v>
      </c>
      <c r="B1" s="126" t="s">
        <v>4341</v>
      </c>
      <c r="C1" s="127" t="s">
        <v>4342</v>
      </c>
      <c r="D1" s="126" t="s">
        <v>4343</v>
      </c>
      <c r="E1" s="126" t="s">
        <v>4344</v>
      </c>
      <c r="Q1" s="126" t="s">
        <v>4340</v>
      </c>
      <c r="R1" s="126" t="s">
        <v>4341</v>
      </c>
      <c r="S1" s="127" t="s">
        <v>4342</v>
      </c>
      <c r="T1" s="126" t="s">
        <v>4345</v>
      </c>
      <c r="U1" s="126" t="s">
        <v>4344</v>
      </c>
    </row>
    <row r="2" ht="22.5" customHeight="1">
      <c r="A2" s="128" t="s">
        <v>4346</v>
      </c>
      <c r="B2" s="128" t="s">
        <v>4347</v>
      </c>
      <c r="C2" s="129">
        <v>9.0</v>
      </c>
      <c r="D2" s="130" t="s">
        <v>4263</v>
      </c>
      <c r="E2" s="131" t="s">
        <v>4265</v>
      </c>
      <c r="Q2" s="128" t="s">
        <v>4346</v>
      </c>
      <c r="R2" s="128" t="s">
        <v>4347</v>
      </c>
      <c r="S2" s="129">
        <v>9.0</v>
      </c>
      <c r="T2" s="128" t="str">
        <f t="shared" ref="T2:T7" si="1">D2</f>
        <v>Lư Hữu Luân</v>
      </c>
      <c r="U2" s="131" t="s">
        <v>4265</v>
      </c>
    </row>
    <row r="3" ht="22.5" customHeight="1">
      <c r="A3" s="128" t="s">
        <v>4348</v>
      </c>
      <c r="B3" s="128" t="s">
        <v>4349</v>
      </c>
      <c r="C3" s="129">
        <v>6.0</v>
      </c>
      <c r="D3" s="130" t="s">
        <v>4266</v>
      </c>
      <c r="E3" s="131" t="s">
        <v>4268</v>
      </c>
      <c r="Q3" s="128" t="s">
        <v>4348</v>
      </c>
      <c r="R3" s="128" t="s">
        <v>4349</v>
      </c>
      <c r="S3" s="129">
        <v>6.0</v>
      </c>
      <c r="T3" s="128" t="str">
        <f t="shared" si="1"/>
        <v>Nguyễn Thành Huy</v>
      </c>
      <c r="U3" s="131" t="s">
        <v>4268</v>
      </c>
    </row>
    <row r="4" ht="22.5" customHeight="1">
      <c r="A4" s="128" t="s">
        <v>4350</v>
      </c>
      <c r="B4" s="128" t="s">
        <v>4351</v>
      </c>
      <c r="C4" s="129">
        <v>9.0</v>
      </c>
      <c r="D4" s="130" t="s">
        <v>4269</v>
      </c>
      <c r="E4" s="131" t="s">
        <v>4271</v>
      </c>
      <c r="Q4" s="128" t="s">
        <v>4350</v>
      </c>
      <c r="R4" s="128" t="s">
        <v>4351</v>
      </c>
      <c r="S4" s="129">
        <v>9.0</v>
      </c>
      <c r="T4" s="128" t="str">
        <f t="shared" si="1"/>
        <v>Võ Quốc An</v>
      </c>
      <c r="U4" s="131" t="s">
        <v>4271</v>
      </c>
    </row>
    <row r="5" ht="22.5" customHeight="1">
      <c r="A5" s="128" t="s">
        <v>4352</v>
      </c>
      <c r="B5" s="128" t="s">
        <v>4353</v>
      </c>
      <c r="C5" s="129">
        <v>7.0</v>
      </c>
      <c r="D5" s="130" t="s">
        <v>4272</v>
      </c>
      <c r="E5" s="131" t="s">
        <v>4274</v>
      </c>
      <c r="Q5" s="128" t="s">
        <v>4352</v>
      </c>
      <c r="R5" s="128" t="s">
        <v>4353</v>
      </c>
      <c r="S5" s="129">
        <v>7.0</v>
      </c>
      <c r="T5" s="128" t="str">
        <f t="shared" si="1"/>
        <v>Huỳnh Phi Long</v>
      </c>
      <c r="U5" s="131" t="s">
        <v>4274</v>
      </c>
    </row>
    <row r="6" ht="22.5" customHeight="1">
      <c r="A6" s="128" t="s">
        <v>4354</v>
      </c>
      <c r="B6" s="128" t="s">
        <v>4355</v>
      </c>
      <c r="C6" s="129">
        <v>9.0</v>
      </c>
      <c r="D6" s="130" t="s">
        <v>4275</v>
      </c>
      <c r="E6" s="131" t="s">
        <v>4277</v>
      </c>
      <c r="Q6" s="128" t="s">
        <v>4354</v>
      </c>
      <c r="R6" s="128" t="s">
        <v>4355</v>
      </c>
      <c r="S6" s="129">
        <v>9.0</v>
      </c>
      <c r="T6" s="128" t="str">
        <f t="shared" si="1"/>
        <v>Lê Nhựt Huy</v>
      </c>
      <c r="U6" s="131" t="s">
        <v>4277</v>
      </c>
    </row>
    <row r="7" ht="22.5" customHeight="1">
      <c r="A7" s="128" t="s">
        <v>4356</v>
      </c>
      <c r="B7" s="128" t="s">
        <v>4357</v>
      </c>
      <c r="C7" s="129">
        <v>11.0</v>
      </c>
      <c r="D7" s="130" t="s">
        <v>4278</v>
      </c>
      <c r="E7" s="131" t="s">
        <v>4280</v>
      </c>
      <c r="Q7" s="128" t="s">
        <v>4356</v>
      </c>
      <c r="R7" s="128" t="s">
        <v>4357</v>
      </c>
      <c r="S7" s="129">
        <v>11.0</v>
      </c>
      <c r="T7" s="128" t="str">
        <f t="shared" si="1"/>
        <v>Trần Công Thuận</v>
      </c>
      <c r="U7" s="131" t="s">
        <v>4280</v>
      </c>
    </row>
  </sheetData>
  <dataValidations>
    <dataValidation type="list" allowBlank="1" sqref="D2:D7">
      <formula1>"Nguyễn Thành Huy,Lư Hữu Luân,Trần Công Thuận,Huỳnh Phi Long,Võ Quốc An,Lê Nhựt Huy"</formula1>
    </dataValidation>
    <dataValidation type="custom" allowBlank="1" showDropDown="1" sqref="S2:S7 C2:C7">
      <formula1>AND(ISNUMBER(C2),(NOT(OR(NOT(ISERROR(DATEVALUE(C2))), AND(ISNUMBER(C2), LEFT(CELL("format", C2))="D")))))</formula1>
    </dataValidation>
  </dataValidations>
  <drawing r:id="rId1"/>
  <tableParts count="2">
    <tablePart r:id="rId4"/>
    <tablePart r:id="rId5"/>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4" max="4" width="14.29"/>
    <col customWidth="1" min="5" max="5" width="43.0"/>
    <col customWidth="1" min="6" max="6" width="27.71"/>
    <col customWidth="1" min="7" max="7" width="37.14"/>
    <col customWidth="1" min="8" max="9" width="15.86"/>
  </cols>
  <sheetData>
    <row r="6" ht="22.5" customHeight="1">
      <c r="D6" s="127" t="s">
        <v>1786</v>
      </c>
      <c r="E6" s="126" t="s">
        <v>1787</v>
      </c>
      <c r="F6" s="127" t="s">
        <v>4358</v>
      </c>
      <c r="G6" s="127" t="s">
        <v>4359</v>
      </c>
      <c r="H6" s="132" t="s">
        <v>1799</v>
      </c>
      <c r="I6" s="132" t="s">
        <v>1800</v>
      </c>
    </row>
    <row r="7" ht="22.5" customHeight="1">
      <c r="D7" s="133" t="s">
        <v>287</v>
      </c>
      <c r="E7" s="131" t="s">
        <v>461</v>
      </c>
      <c r="F7" s="130" t="s">
        <v>4263</v>
      </c>
      <c r="G7" s="130" t="s">
        <v>4324</v>
      </c>
      <c r="H7" s="134">
        <f t="shared" ref="H7:H69" si="1">SWITCH(G7, "Sprint 1", DATE(2026, 10, 10), "Sprint 2", DATE(2026, 10, 13), "Sprint 3", DATE(2026, 10, 20), "Sprint 4", DATE(2026, 10, 27), "Sprint 5", DATE(2026, 11, 3), "")</f>
        <v>46305</v>
      </c>
      <c r="I7" s="134">
        <f t="shared" ref="I7:I64" si="2">SWITCH(G7, "Sprint 1", DATE(2026, 10, 12), "Sprint 2", DATE(2026, 10, 19), "Sprint 3", DATE(2026, 10, 26), "Sprint 4", DATE(2026, 11, 2), "Sprint 5", DATE(2026, 11, 13), "")</f>
        <v>46307</v>
      </c>
    </row>
    <row r="8" ht="22.5" customHeight="1">
      <c r="D8" s="133" t="s">
        <v>471</v>
      </c>
      <c r="E8" s="131" t="s">
        <v>1807</v>
      </c>
      <c r="F8" s="130" t="s">
        <v>4263</v>
      </c>
      <c r="G8" s="130" t="s">
        <v>4324</v>
      </c>
      <c r="H8" s="134">
        <f t="shared" si="1"/>
        <v>46305</v>
      </c>
      <c r="I8" s="134">
        <f t="shared" si="2"/>
        <v>46307</v>
      </c>
    </row>
    <row r="9" ht="22.5" customHeight="1">
      <c r="D9" s="133" t="s">
        <v>476</v>
      </c>
      <c r="E9" s="131" t="s">
        <v>1814</v>
      </c>
      <c r="F9" s="130" t="s">
        <v>4263</v>
      </c>
      <c r="G9" s="130" t="s">
        <v>4326</v>
      </c>
      <c r="H9" s="134">
        <f t="shared" si="1"/>
        <v>46308</v>
      </c>
      <c r="I9" s="134">
        <f t="shared" si="2"/>
        <v>46314</v>
      </c>
    </row>
    <row r="10" ht="22.5" customHeight="1">
      <c r="D10" s="133" t="s">
        <v>488</v>
      </c>
      <c r="E10" s="131" t="s">
        <v>1821</v>
      </c>
      <c r="F10" s="130" t="s">
        <v>4263</v>
      </c>
      <c r="G10" s="130" t="s">
        <v>4326</v>
      </c>
      <c r="H10" s="134">
        <f t="shared" si="1"/>
        <v>46308</v>
      </c>
      <c r="I10" s="134">
        <f t="shared" si="2"/>
        <v>46314</v>
      </c>
    </row>
    <row r="11" ht="22.5" customHeight="1">
      <c r="D11" s="133" t="s">
        <v>354</v>
      </c>
      <c r="E11" s="131" t="s">
        <v>1864</v>
      </c>
      <c r="F11" s="130" t="s">
        <v>4266</v>
      </c>
      <c r="G11" s="130" t="s">
        <v>4324</v>
      </c>
      <c r="H11" s="134">
        <f t="shared" si="1"/>
        <v>46305</v>
      </c>
      <c r="I11" s="134">
        <f t="shared" si="2"/>
        <v>46307</v>
      </c>
    </row>
    <row r="12" ht="22.5" customHeight="1">
      <c r="D12" s="133" t="s">
        <v>536</v>
      </c>
      <c r="E12" s="131" t="s">
        <v>1872</v>
      </c>
      <c r="F12" s="130" t="s">
        <v>4266</v>
      </c>
      <c r="G12" s="130" t="s">
        <v>4324</v>
      </c>
      <c r="H12" s="134">
        <f t="shared" si="1"/>
        <v>46305</v>
      </c>
      <c r="I12" s="134">
        <f t="shared" si="2"/>
        <v>46307</v>
      </c>
    </row>
    <row r="13" ht="22.5" customHeight="1">
      <c r="D13" s="133" t="s">
        <v>373</v>
      </c>
      <c r="E13" s="131" t="s">
        <v>1879</v>
      </c>
      <c r="F13" s="130" t="s">
        <v>4266</v>
      </c>
      <c r="G13" s="130" t="s">
        <v>4326</v>
      </c>
      <c r="H13" s="134">
        <f t="shared" si="1"/>
        <v>46308</v>
      </c>
      <c r="I13" s="134">
        <f t="shared" si="2"/>
        <v>46314</v>
      </c>
    </row>
    <row r="14" ht="22.5" customHeight="1">
      <c r="D14" s="133" t="s">
        <v>410</v>
      </c>
      <c r="E14" s="131" t="s">
        <v>2082</v>
      </c>
      <c r="F14" s="130" t="s">
        <v>4278</v>
      </c>
      <c r="G14" s="130" t="s">
        <v>4324</v>
      </c>
      <c r="H14" s="134">
        <f t="shared" si="1"/>
        <v>46305</v>
      </c>
      <c r="I14" s="134">
        <f t="shared" si="2"/>
        <v>46307</v>
      </c>
    </row>
    <row r="15" ht="22.5" customHeight="1">
      <c r="D15" s="133" t="s">
        <v>375</v>
      </c>
      <c r="E15" s="131" t="s">
        <v>1896</v>
      </c>
      <c r="F15" s="130" t="s">
        <v>4269</v>
      </c>
      <c r="G15" s="130" t="s">
        <v>4324</v>
      </c>
      <c r="H15" s="134">
        <f t="shared" si="1"/>
        <v>46305</v>
      </c>
      <c r="I15" s="134">
        <f t="shared" si="2"/>
        <v>46307</v>
      </c>
    </row>
    <row r="16" ht="22.5" customHeight="1">
      <c r="D16" s="133" t="s">
        <v>385</v>
      </c>
      <c r="E16" s="131" t="s">
        <v>384</v>
      </c>
      <c r="F16" s="130" t="s">
        <v>4272</v>
      </c>
      <c r="G16" s="130" t="s">
        <v>4324</v>
      </c>
      <c r="H16" s="134">
        <f t="shared" si="1"/>
        <v>46305</v>
      </c>
      <c r="I16" s="134">
        <f t="shared" si="2"/>
        <v>46307</v>
      </c>
    </row>
    <row r="17" ht="22.5" customHeight="1">
      <c r="D17" s="133" t="s">
        <v>752</v>
      </c>
      <c r="E17" s="131" t="s">
        <v>750</v>
      </c>
      <c r="F17" s="130" t="s">
        <v>4275</v>
      </c>
      <c r="G17" s="130" t="s">
        <v>4324</v>
      </c>
      <c r="H17" s="134">
        <f t="shared" si="1"/>
        <v>46305</v>
      </c>
      <c r="I17" s="134">
        <f t="shared" si="2"/>
        <v>46307</v>
      </c>
    </row>
    <row r="18" ht="22.5" customHeight="1">
      <c r="D18" s="133" t="s">
        <v>399</v>
      </c>
      <c r="E18" s="131" t="s">
        <v>398</v>
      </c>
      <c r="F18" s="130" t="s">
        <v>4275</v>
      </c>
      <c r="G18" s="130" t="s">
        <v>4324</v>
      </c>
      <c r="H18" s="134">
        <f t="shared" si="1"/>
        <v>46305</v>
      </c>
      <c r="I18" s="134">
        <f t="shared" si="2"/>
        <v>46307</v>
      </c>
    </row>
    <row r="19" ht="22.5" customHeight="1">
      <c r="D19" s="133" t="s">
        <v>776</v>
      </c>
      <c r="E19" s="131" t="s">
        <v>2032</v>
      </c>
      <c r="F19" s="130" t="s">
        <v>4275</v>
      </c>
      <c r="G19" s="130" t="s">
        <v>4328</v>
      </c>
      <c r="H19" s="134">
        <f t="shared" si="1"/>
        <v>46315</v>
      </c>
      <c r="I19" s="134">
        <f t="shared" si="2"/>
        <v>46321</v>
      </c>
    </row>
    <row r="20" ht="22.5" customHeight="1">
      <c r="D20" s="133" t="s">
        <v>766</v>
      </c>
      <c r="E20" s="131" t="s">
        <v>2057</v>
      </c>
      <c r="F20" s="130" t="s">
        <v>4275</v>
      </c>
      <c r="G20" s="130" t="s">
        <v>4326</v>
      </c>
      <c r="H20" s="134">
        <f t="shared" si="1"/>
        <v>46308</v>
      </c>
      <c r="I20" s="134">
        <f t="shared" si="2"/>
        <v>46314</v>
      </c>
    </row>
    <row r="21" ht="22.5" customHeight="1">
      <c r="D21" s="133" t="s">
        <v>493</v>
      </c>
      <c r="E21" s="131" t="s">
        <v>491</v>
      </c>
      <c r="F21" s="130" t="s">
        <v>4263</v>
      </c>
      <c r="G21" s="130" t="s">
        <v>4332</v>
      </c>
      <c r="H21" s="134">
        <f t="shared" si="1"/>
        <v>46329</v>
      </c>
      <c r="I21" s="134">
        <f t="shared" si="2"/>
        <v>46339</v>
      </c>
    </row>
    <row r="22" ht="22.5" customHeight="1">
      <c r="D22" s="133" t="s">
        <v>498</v>
      </c>
      <c r="E22" s="131" t="s">
        <v>496</v>
      </c>
      <c r="F22" s="130" t="s">
        <v>4263</v>
      </c>
      <c r="G22" s="130" t="s">
        <v>4328</v>
      </c>
      <c r="H22" s="134">
        <f t="shared" si="1"/>
        <v>46315</v>
      </c>
      <c r="I22" s="134">
        <f t="shared" si="2"/>
        <v>46321</v>
      </c>
    </row>
    <row r="23" ht="22.5" customHeight="1">
      <c r="D23" s="133" t="s">
        <v>360</v>
      </c>
      <c r="E23" s="131" t="s">
        <v>1838</v>
      </c>
      <c r="F23" s="130" t="s">
        <v>4263</v>
      </c>
      <c r="G23" s="130" t="s">
        <v>4330</v>
      </c>
      <c r="H23" s="134">
        <f t="shared" si="1"/>
        <v>46322</v>
      </c>
      <c r="I23" s="134">
        <f t="shared" si="2"/>
        <v>46328</v>
      </c>
    </row>
    <row r="24" ht="22.5" customHeight="1">
      <c r="D24" s="133" t="s">
        <v>363</v>
      </c>
      <c r="E24" s="131" t="s">
        <v>1844</v>
      </c>
      <c r="F24" s="130" t="s">
        <v>4263</v>
      </c>
      <c r="G24" s="130" t="s">
        <v>4330</v>
      </c>
      <c r="H24" s="134">
        <f t="shared" si="1"/>
        <v>46322</v>
      </c>
      <c r="I24" s="134">
        <f t="shared" si="2"/>
        <v>46328</v>
      </c>
    </row>
    <row r="25" ht="22.5" customHeight="1">
      <c r="D25" s="133" t="s">
        <v>367</v>
      </c>
      <c r="E25" s="131" t="s">
        <v>366</v>
      </c>
      <c r="F25" s="130" t="s">
        <v>4263</v>
      </c>
      <c r="G25" s="130" t="s">
        <v>4328</v>
      </c>
      <c r="H25" s="134">
        <f t="shared" si="1"/>
        <v>46315</v>
      </c>
      <c r="I25" s="134">
        <f t="shared" si="2"/>
        <v>46321</v>
      </c>
    </row>
    <row r="26" ht="22.5" customHeight="1">
      <c r="D26" s="133" t="s">
        <v>571</v>
      </c>
      <c r="E26" s="131" t="s">
        <v>569</v>
      </c>
      <c r="F26" s="130" t="s">
        <v>4266</v>
      </c>
      <c r="G26" s="130" t="s">
        <v>4326</v>
      </c>
      <c r="H26" s="134">
        <f t="shared" si="1"/>
        <v>46308</v>
      </c>
      <c r="I26" s="134">
        <f t="shared" si="2"/>
        <v>46314</v>
      </c>
    </row>
    <row r="27" ht="22.5" customHeight="1">
      <c r="D27" s="133" t="s">
        <v>434</v>
      </c>
      <c r="E27" s="131" t="s">
        <v>433</v>
      </c>
      <c r="F27" s="130" t="s">
        <v>4266</v>
      </c>
      <c r="G27" s="130" t="s">
        <v>4328</v>
      </c>
      <c r="H27" s="134">
        <f t="shared" si="1"/>
        <v>46315</v>
      </c>
      <c r="I27" s="134">
        <f t="shared" si="2"/>
        <v>46321</v>
      </c>
    </row>
    <row r="28" ht="22.5" customHeight="1">
      <c r="D28" s="133" t="s">
        <v>595</v>
      </c>
      <c r="E28" s="131" t="s">
        <v>1903</v>
      </c>
      <c r="F28" s="130" t="s">
        <v>4269</v>
      </c>
      <c r="G28" s="130" t="s">
        <v>4324</v>
      </c>
      <c r="H28" s="134">
        <f t="shared" si="1"/>
        <v>46305</v>
      </c>
      <c r="I28" s="134">
        <f t="shared" si="2"/>
        <v>46307</v>
      </c>
    </row>
    <row r="29" ht="22.5" customHeight="1">
      <c r="D29" s="133" t="s">
        <v>600</v>
      </c>
      <c r="E29" s="131" t="s">
        <v>598</v>
      </c>
      <c r="F29" s="130" t="s">
        <v>4269</v>
      </c>
      <c r="G29" s="130" t="s">
        <v>4326</v>
      </c>
      <c r="H29" s="134">
        <f t="shared" si="1"/>
        <v>46308</v>
      </c>
      <c r="I29" s="134">
        <f t="shared" si="2"/>
        <v>46314</v>
      </c>
    </row>
    <row r="30" ht="22.5" customHeight="1">
      <c r="D30" s="133" t="s">
        <v>610</v>
      </c>
      <c r="E30" s="131" t="s">
        <v>1915</v>
      </c>
      <c r="F30" s="130" t="s">
        <v>4269</v>
      </c>
      <c r="G30" s="130" t="s">
        <v>4326</v>
      </c>
      <c r="H30" s="134">
        <f t="shared" si="1"/>
        <v>46308</v>
      </c>
      <c r="I30" s="134">
        <f t="shared" si="2"/>
        <v>46314</v>
      </c>
    </row>
    <row r="31" ht="22.5" customHeight="1">
      <c r="D31" s="133" t="s">
        <v>673</v>
      </c>
      <c r="E31" s="131" t="s">
        <v>1951</v>
      </c>
      <c r="F31" s="130" t="s">
        <v>4272</v>
      </c>
      <c r="G31" s="130" t="s">
        <v>4328</v>
      </c>
      <c r="H31" s="134">
        <f t="shared" si="1"/>
        <v>46315</v>
      </c>
      <c r="I31" s="134">
        <f t="shared" si="2"/>
        <v>46321</v>
      </c>
    </row>
    <row r="32" ht="22.5" customHeight="1">
      <c r="D32" s="133" t="s">
        <v>682</v>
      </c>
      <c r="E32" s="131" t="s">
        <v>1958</v>
      </c>
      <c r="F32" s="130" t="s">
        <v>4272</v>
      </c>
      <c r="G32" s="130" t="s">
        <v>4324</v>
      </c>
      <c r="H32" s="134">
        <f t="shared" si="1"/>
        <v>46305</v>
      </c>
      <c r="I32" s="134">
        <f t="shared" si="2"/>
        <v>46307</v>
      </c>
    </row>
    <row r="33" ht="22.5" customHeight="1">
      <c r="D33" s="133" t="s">
        <v>392</v>
      </c>
      <c r="E33" s="131" t="s">
        <v>391</v>
      </c>
      <c r="F33" s="130" t="s">
        <v>4272</v>
      </c>
      <c r="G33" s="130" t="s">
        <v>4326</v>
      </c>
      <c r="H33" s="134">
        <f t="shared" si="1"/>
        <v>46308</v>
      </c>
      <c r="I33" s="134">
        <f t="shared" si="2"/>
        <v>46314</v>
      </c>
    </row>
    <row r="34" ht="22.5" customHeight="1">
      <c r="D34" s="133" t="s">
        <v>699</v>
      </c>
      <c r="E34" s="131" t="s">
        <v>1971</v>
      </c>
      <c r="F34" s="130" t="s">
        <v>4272</v>
      </c>
      <c r="G34" s="130" t="s">
        <v>4326</v>
      </c>
      <c r="H34" s="134">
        <f t="shared" si="1"/>
        <v>46308</v>
      </c>
      <c r="I34" s="134">
        <f t="shared" si="2"/>
        <v>46314</v>
      </c>
    </row>
    <row r="35" ht="22.5" customHeight="1">
      <c r="D35" s="133" t="s">
        <v>2018</v>
      </c>
      <c r="E35" s="131" t="s">
        <v>2019</v>
      </c>
      <c r="F35" s="130" t="s">
        <v>4275</v>
      </c>
      <c r="G35" s="130" t="s">
        <v>4326</v>
      </c>
      <c r="H35" s="134">
        <f t="shared" si="1"/>
        <v>46308</v>
      </c>
      <c r="I35" s="134">
        <f t="shared" si="2"/>
        <v>46314</v>
      </c>
    </row>
    <row r="36" ht="22.5" customHeight="1">
      <c r="D36" s="133" t="s">
        <v>817</v>
      </c>
      <c r="E36" s="131" t="s">
        <v>815</v>
      </c>
      <c r="F36" s="130" t="s">
        <v>4275</v>
      </c>
      <c r="G36" s="130" t="s">
        <v>4330</v>
      </c>
      <c r="H36" s="134">
        <f t="shared" si="1"/>
        <v>46322</v>
      </c>
      <c r="I36" s="134">
        <f t="shared" si="2"/>
        <v>46328</v>
      </c>
    </row>
    <row r="37" ht="22.5" customHeight="1">
      <c r="D37" s="133" t="s">
        <v>822</v>
      </c>
      <c r="E37" s="131" t="s">
        <v>820</v>
      </c>
      <c r="F37" s="130" t="s">
        <v>4275</v>
      </c>
      <c r="G37" s="130" t="s">
        <v>4328</v>
      </c>
      <c r="H37" s="134">
        <f t="shared" si="1"/>
        <v>46315</v>
      </c>
      <c r="I37" s="134">
        <f t="shared" si="2"/>
        <v>46321</v>
      </c>
    </row>
    <row r="38" ht="22.5" customHeight="1">
      <c r="D38" s="133" t="s">
        <v>365</v>
      </c>
      <c r="E38" s="131" t="s">
        <v>1851</v>
      </c>
      <c r="F38" s="130" t="s">
        <v>4278</v>
      </c>
      <c r="G38" s="130" t="s">
        <v>4324</v>
      </c>
      <c r="H38" s="134">
        <f t="shared" si="1"/>
        <v>46305</v>
      </c>
      <c r="I38" s="134">
        <f t="shared" si="2"/>
        <v>46307</v>
      </c>
    </row>
    <row r="39" ht="22.5" customHeight="1">
      <c r="D39" s="133" t="s">
        <v>342</v>
      </c>
      <c r="E39" s="131" t="s">
        <v>2049</v>
      </c>
      <c r="F39" s="130" t="s">
        <v>4278</v>
      </c>
      <c r="G39" s="130" t="s">
        <v>4326</v>
      </c>
      <c r="H39" s="134">
        <f t="shared" si="1"/>
        <v>46308</v>
      </c>
      <c r="I39" s="134">
        <f t="shared" si="2"/>
        <v>46314</v>
      </c>
    </row>
    <row r="40" ht="22.5" customHeight="1">
      <c r="D40" s="133" t="s">
        <v>422</v>
      </c>
      <c r="E40" s="131" t="s">
        <v>421</v>
      </c>
      <c r="F40" s="130" t="s">
        <v>4278</v>
      </c>
      <c r="G40" s="130" t="s">
        <v>4324</v>
      </c>
      <c r="H40" s="134">
        <f t="shared" si="1"/>
        <v>46305</v>
      </c>
      <c r="I40" s="134">
        <f t="shared" si="2"/>
        <v>46307</v>
      </c>
    </row>
    <row r="41" ht="22.5" customHeight="1">
      <c r="D41" s="133" t="s">
        <v>425</v>
      </c>
      <c r="E41" s="131" t="s">
        <v>424</v>
      </c>
      <c r="F41" s="130" t="s">
        <v>4278</v>
      </c>
      <c r="G41" s="130" t="s">
        <v>4326</v>
      </c>
      <c r="H41" s="134">
        <f t="shared" si="1"/>
        <v>46308</v>
      </c>
      <c r="I41" s="134">
        <f t="shared" si="2"/>
        <v>46314</v>
      </c>
    </row>
    <row r="42" ht="22.5" customHeight="1">
      <c r="D42" s="133" t="s">
        <v>429</v>
      </c>
      <c r="E42" s="131" t="s">
        <v>428</v>
      </c>
      <c r="F42" s="130" t="s">
        <v>4278</v>
      </c>
      <c r="G42" s="130" t="s">
        <v>4330</v>
      </c>
      <c r="H42" s="134">
        <f t="shared" si="1"/>
        <v>46322</v>
      </c>
      <c r="I42" s="134">
        <f t="shared" si="2"/>
        <v>46328</v>
      </c>
    </row>
    <row r="43" ht="22.5" customHeight="1">
      <c r="D43" s="133" t="s">
        <v>432</v>
      </c>
      <c r="E43" s="131" t="s">
        <v>431</v>
      </c>
      <c r="F43" s="130" t="s">
        <v>4278</v>
      </c>
      <c r="G43" s="130" t="s">
        <v>4328</v>
      </c>
      <c r="H43" s="134">
        <f t="shared" si="1"/>
        <v>46315</v>
      </c>
      <c r="I43" s="134">
        <f t="shared" si="2"/>
        <v>46321</v>
      </c>
    </row>
    <row r="44" ht="22.5" customHeight="1">
      <c r="D44" s="133" t="s">
        <v>444</v>
      </c>
      <c r="E44" s="131" t="s">
        <v>2180</v>
      </c>
      <c r="F44" s="130" t="s">
        <v>4278</v>
      </c>
      <c r="G44" s="130" t="s">
        <v>4332</v>
      </c>
      <c r="H44" s="134">
        <f t="shared" si="1"/>
        <v>46329</v>
      </c>
      <c r="I44" s="134">
        <f t="shared" si="2"/>
        <v>46339</v>
      </c>
    </row>
    <row r="45" ht="22.5" customHeight="1">
      <c r="D45" s="133" t="s">
        <v>628</v>
      </c>
      <c r="E45" s="131" t="s">
        <v>626</v>
      </c>
      <c r="F45" s="130" t="s">
        <v>4269</v>
      </c>
      <c r="G45" s="130" t="s">
        <v>4328</v>
      </c>
      <c r="H45" s="134">
        <f t="shared" si="1"/>
        <v>46315</v>
      </c>
      <c r="I45" s="134">
        <f t="shared" si="2"/>
        <v>46321</v>
      </c>
    </row>
    <row r="46" ht="22.5" customHeight="1">
      <c r="D46" s="133" t="s">
        <v>642</v>
      </c>
      <c r="E46" s="131" t="s">
        <v>640</v>
      </c>
      <c r="F46" s="130" t="s">
        <v>4269</v>
      </c>
      <c r="G46" s="130" t="s">
        <v>4328</v>
      </c>
      <c r="H46" s="134">
        <f t="shared" si="1"/>
        <v>46315</v>
      </c>
      <c r="I46" s="134">
        <f t="shared" si="2"/>
        <v>46321</v>
      </c>
    </row>
    <row r="47" ht="22.5" customHeight="1">
      <c r="D47" s="133" t="s">
        <v>708</v>
      </c>
      <c r="E47" s="131" t="s">
        <v>706</v>
      </c>
      <c r="F47" s="130" t="s">
        <v>4272</v>
      </c>
      <c r="G47" s="130" t="s">
        <v>4328</v>
      </c>
      <c r="H47" s="134">
        <f t="shared" si="1"/>
        <v>46315</v>
      </c>
      <c r="I47" s="134">
        <f t="shared" si="2"/>
        <v>46321</v>
      </c>
    </row>
    <row r="48" ht="22.5" customHeight="1">
      <c r="D48" s="133" t="s">
        <v>713</v>
      </c>
      <c r="E48" s="131" t="s">
        <v>711</v>
      </c>
      <c r="F48" s="130" t="s">
        <v>4272</v>
      </c>
      <c r="G48" s="130" t="s">
        <v>4330</v>
      </c>
      <c r="H48" s="134">
        <f t="shared" si="1"/>
        <v>46322</v>
      </c>
      <c r="I48" s="134">
        <f t="shared" si="2"/>
        <v>46328</v>
      </c>
    </row>
    <row r="49" ht="22.5" customHeight="1">
      <c r="D49" s="133" t="s">
        <v>412</v>
      </c>
      <c r="E49" s="131" t="s">
        <v>4360</v>
      </c>
      <c r="F49" s="130" t="s">
        <v>4272</v>
      </c>
      <c r="G49" s="130" t="s">
        <v>4330</v>
      </c>
      <c r="H49" s="134">
        <f t="shared" si="1"/>
        <v>46322</v>
      </c>
      <c r="I49" s="134">
        <f t="shared" si="2"/>
        <v>46328</v>
      </c>
    </row>
    <row r="50" ht="22.5" customHeight="1">
      <c r="D50" s="133" t="s">
        <v>414</v>
      </c>
      <c r="E50" s="131" t="s">
        <v>4361</v>
      </c>
      <c r="F50" s="130" t="s">
        <v>4272</v>
      </c>
      <c r="G50" s="130" t="s">
        <v>4332</v>
      </c>
      <c r="H50" s="134">
        <f t="shared" si="1"/>
        <v>46329</v>
      </c>
      <c r="I50" s="134">
        <f t="shared" si="2"/>
        <v>46339</v>
      </c>
    </row>
    <row r="51" ht="22.5" customHeight="1">
      <c r="D51" s="133" t="s">
        <v>416</v>
      </c>
      <c r="E51" s="131" t="s">
        <v>415</v>
      </c>
      <c r="F51" s="130" t="s">
        <v>4272</v>
      </c>
      <c r="G51" s="130" t="s">
        <v>4332</v>
      </c>
      <c r="H51" s="134">
        <f t="shared" si="1"/>
        <v>46329</v>
      </c>
      <c r="I51" s="134">
        <f t="shared" si="2"/>
        <v>46339</v>
      </c>
    </row>
    <row r="52" ht="22.5" customHeight="1">
      <c r="D52" s="133" t="s">
        <v>808</v>
      </c>
      <c r="E52" s="131" t="s">
        <v>2025</v>
      </c>
      <c r="F52" s="130" t="s">
        <v>4275</v>
      </c>
      <c r="G52" s="130" t="s">
        <v>4332</v>
      </c>
      <c r="H52" s="134">
        <f t="shared" si="1"/>
        <v>46329</v>
      </c>
      <c r="I52" s="134">
        <f t="shared" si="2"/>
        <v>46339</v>
      </c>
    </row>
    <row r="53" ht="22.5" customHeight="1">
      <c r="D53" s="133" t="s">
        <v>839</v>
      </c>
      <c r="E53" s="131" t="s">
        <v>2063</v>
      </c>
      <c r="F53" s="130" t="s">
        <v>4275</v>
      </c>
      <c r="G53" s="130" t="s">
        <v>4330</v>
      </c>
      <c r="H53" s="134">
        <f t="shared" si="1"/>
        <v>46322</v>
      </c>
      <c r="I53" s="134">
        <f t="shared" si="2"/>
        <v>46328</v>
      </c>
    </row>
    <row r="54" ht="22.5" customHeight="1">
      <c r="D54" s="133" t="s">
        <v>406</v>
      </c>
      <c r="E54" s="131" t="s">
        <v>861</v>
      </c>
      <c r="F54" s="130" t="s">
        <v>4266</v>
      </c>
      <c r="G54" s="130" t="s">
        <v>4328</v>
      </c>
      <c r="H54" s="134">
        <f t="shared" si="1"/>
        <v>46315</v>
      </c>
      <c r="I54" s="134">
        <f t="shared" si="2"/>
        <v>46321</v>
      </c>
    </row>
    <row r="55" ht="22.5" customHeight="1">
      <c r="D55" s="133" t="s">
        <v>440</v>
      </c>
      <c r="E55" s="131" t="s">
        <v>439</v>
      </c>
      <c r="F55" s="130" t="s">
        <v>4275</v>
      </c>
      <c r="G55" s="130" t="s">
        <v>4332</v>
      </c>
      <c r="H55" s="134">
        <f t="shared" si="1"/>
        <v>46329</v>
      </c>
      <c r="I55" s="134">
        <f t="shared" si="2"/>
        <v>46339</v>
      </c>
    </row>
    <row r="56" ht="22.5" customHeight="1">
      <c r="D56" s="133" t="s">
        <v>371</v>
      </c>
      <c r="E56" s="131" t="s">
        <v>370</v>
      </c>
      <c r="F56" s="130" t="s">
        <v>4266</v>
      </c>
      <c r="G56" s="130" t="s">
        <v>4332</v>
      </c>
      <c r="H56" s="134">
        <f t="shared" si="1"/>
        <v>46329</v>
      </c>
      <c r="I56" s="134">
        <f t="shared" si="2"/>
        <v>46339</v>
      </c>
    </row>
    <row r="57" ht="22.5" customHeight="1">
      <c r="D57" s="133" t="s">
        <v>408</v>
      </c>
      <c r="E57" s="131" t="s">
        <v>407</v>
      </c>
      <c r="F57" s="130" t="s">
        <v>4278</v>
      </c>
      <c r="G57" s="130" t="s">
        <v>4328</v>
      </c>
      <c r="H57" s="134">
        <f t="shared" si="1"/>
        <v>46315</v>
      </c>
      <c r="I57" s="134">
        <f t="shared" si="2"/>
        <v>46321</v>
      </c>
    </row>
    <row r="58" ht="22.5" customHeight="1">
      <c r="D58" s="133" t="s">
        <v>883</v>
      </c>
      <c r="E58" s="131" t="s">
        <v>4362</v>
      </c>
      <c r="F58" s="130" t="s">
        <v>4278</v>
      </c>
      <c r="G58" s="130" t="s">
        <v>4326</v>
      </c>
      <c r="H58" s="134">
        <f t="shared" si="1"/>
        <v>46308</v>
      </c>
      <c r="I58" s="134">
        <f t="shared" si="2"/>
        <v>46314</v>
      </c>
    </row>
    <row r="59" ht="22.5" customHeight="1">
      <c r="D59" s="133" t="s">
        <v>418</v>
      </c>
      <c r="E59" s="131" t="s">
        <v>2112</v>
      </c>
      <c r="F59" s="130" t="s">
        <v>4278</v>
      </c>
      <c r="G59" s="130" t="s">
        <v>4328</v>
      </c>
      <c r="H59" s="134">
        <f t="shared" si="1"/>
        <v>46315</v>
      </c>
      <c r="I59" s="134">
        <f t="shared" si="2"/>
        <v>46321</v>
      </c>
    </row>
    <row r="60" ht="22.5" customHeight="1">
      <c r="D60" s="133" t="s">
        <v>420</v>
      </c>
      <c r="E60" s="131" t="s">
        <v>419</v>
      </c>
      <c r="F60" s="130" t="s">
        <v>4278</v>
      </c>
      <c r="G60" s="130" t="s">
        <v>4330</v>
      </c>
      <c r="H60" s="134">
        <f t="shared" si="1"/>
        <v>46322</v>
      </c>
      <c r="I60" s="134">
        <f t="shared" si="2"/>
        <v>46328</v>
      </c>
    </row>
    <row r="61" ht="22.5" customHeight="1">
      <c r="D61" s="133" t="s">
        <v>427</v>
      </c>
      <c r="E61" s="131" t="s">
        <v>426</v>
      </c>
      <c r="F61" s="130" t="s">
        <v>4278</v>
      </c>
      <c r="G61" s="130" t="s">
        <v>4330</v>
      </c>
      <c r="H61" s="134">
        <f t="shared" si="1"/>
        <v>46322</v>
      </c>
      <c r="I61" s="134">
        <f t="shared" si="2"/>
        <v>46328</v>
      </c>
    </row>
    <row r="62" ht="22.5" customHeight="1">
      <c r="D62" s="133" t="s">
        <v>615</v>
      </c>
      <c r="E62" s="131" t="s">
        <v>1922</v>
      </c>
      <c r="F62" s="130" t="s">
        <v>4269</v>
      </c>
      <c r="G62" s="130" t="s">
        <v>4330</v>
      </c>
      <c r="H62" s="134">
        <f t="shared" si="1"/>
        <v>46322</v>
      </c>
      <c r="I62" s="134">
        <f t="shared" si="2"/>
        <v>46328</v>
      </c>
    </row>
    <row r="63" ht="22.5" customHeight="1">
      <c r="D63" s="133" t="s">
        <v>381</v>
      </c>
      <c r="E63" s="131" t="s">
        <v>380</v>
      </c>
      <c r="F63" s="130" t="s">
        <v>4269</v>
      </c>
      <c r="G63" s="130" t="s">
        <v>4330</v>
      </c>
      <c r="H63" s="134">
        <f t="shared" si="1"/>
        <v>46322</v>
      </c>
      <c r="I63" s="134">
        <f t="shared" si="2"/>
        <v>46328</v>
      </c>
    </row>
    <row r="64" ht="22.5" customHeight="1">
      <c r="D64" s="133" t="s">
        <v>723</v>
      </c>
      <c r="E64" s="131" t="s">
        <v>1988</v>
      </c>
      <c r="F64" s="130" t="s">
        <v>4269</v>
      </c>
      <c r="G64" s="130" t="s">
        <v>4332</v>
      </c>
      <c r="H64" s="134">
        <f t="shared" si="1"/>
        <v>46329</v>
      </c>
      <c r="I64" s="134">
        <f t="shared" si="2"/>
        <v>46339</v>
      </c>
    </row>
    <row r="65" ht="22.5" customHeight="1">
      <c r="D65" s="133" t="s">
        <v>442</v>
      </c>
      <c r="E65" s="131" t="s">
        <v>2173</v>
      </c>
      <c r="F65" s="130" t="s">
        <v>4263</v>
      </c>
      <c r="G65" s="130" t="s">
        <v>4332</v>
      </c>
      <c r="H65" s="134">
        <f t="shared" si="1"/>
        <v>46329</v>
      </c>
      <c r="I65" s="134">
        <f t="shared" ref="I65:I69" si="3">SWITCH(G65, "Sprint 1", DATE(2026, 10, 12), "Sprint 2", DATE(2026, 10, 19), "Sprint 3", DATE(2026, 10, 26), "Sprint 4", DATE(2026, 11, 2), "Sprint 5", DATE(2026, 11, 10), "")</f>
        <v>46336</v>
      </c>
    </row>
    <row r="66" ht="22.5" customHeight="1">
      <c r="D66" s="133" t="s">
        <v>436</v>
      </c>
      <c r="E66" s="131" t="s">
        <v>435</v>
      </c>
      <c r="F66" s="130" t="s">
        <v>4278</v>
      </c>
      <c r="G66" s="130" t="s">
        <v>4332</v>
      </c>
      <c r="H66" s="134">
        <f t="shared" si="1"/>
        <v>46329</v>
      </c>
      <c r="I66" s="134">
        <f t="shared" si="3"/>
        <v>46336</v>
      </c>
    </row>
    <row r="67" ht="22.5" customHeight="1">
      <c r="D67" s="133" t="s">
        <v>438</v>
      </c>
      <c r="E67" s="131" t="s">
        <v>437</v>
      </c>
      <c r="F67" s="130" t="s">
        <v>4278</v>
      </c>
      <c r="G67" s="130" t="s">
        <v>4332</v>
      </c>
      <c r="H67" s="134">
        <f t="shared" si="1"/>
        <v>46329</v>
      </c>
      <c r="I67" s="134">
        <f t="shared" si="3"/>
        <v>46336</v>
      </c>
    </row>
    <row r="68" ht="22.5" customHeight="1">
      <c r="D68" s="133" t="s">
        <v>732</v>
      </c>
      <c r="E68" s="131" t="s">
        <v>1995</v>
      </c>
      <c r="F68" s="130" t="s">
        <v>4266</v>
      </c>
      <c r="G68" s="130" t="s">
        <v>4330</v>
      </c>
      <c r="H68" s="134">
        <f t="shared" si="1"/>
        <v>46322</v>
      </c>
      <c r="I68" s="134">
        <f t="shared" si="3"/>
        <v>46328</v>
      </c>
    </row>
    <row r="69" ht="22.5" customHeight="1">
      <c r="D69" s="133" t="s">
        <v>737</v>
      </c>
      <c r="E69" s="131" t="s">
        <v>735</v>
      </c>
      <c r="F69" s="130" t="s">
        <v>4269</v>
      </c>
      <c r="G69" s="130" t="s">
        <v>4332</v>
      </c>
      <c r="H69" s="134">
        <f t="shared" si="1"/>
        <v>46329</v>
      </c>
      <c r="I69" s="134">
        <f t="shared" si="3"/>
        <v>46336</v>
      </c>
    </row>
  </sheetData>
  <dataValidations>
    <dataValidation type="list" allowBlank="1" sqref="G7:G69">
      <formula1>"Sprint 1,Sprint 1,Sprint 1,Sprint 1,Sprint 2,Sprint 2,Sprint 2,Sprint 2,Sprint 3,Sprint 2,Sprint 1,Sprint 1,Sprint 1,Sprint 2,Sprint 4,Sprint 1,Sprint 2,Sprint 2,Sprint 2,Sprint 4,Sprint 4,Sprint 3,Sprint 3,Sprint 2,Sprint 3,Sprint 3,Sprint 3,Sprint 3,Spr"&amp;"int 4,Sprint 4,Sprint 4,Sprint 5,Sprint 5,Sprint 2,Sprint 2,Sprint 3,Sprint 4,Sprint 2,Sprint 3,Sprint 3,Sprint 3,Sprint 2,Sprint 4,Sprint 4,Sprint 4,Sprint 1,Sprint 4,Sprint 4,Sprint 4,Sprint 4,Sprint 4,Sprint 4,Sprint 3,Sprint 3,Sprint 4,Sprint 3,Sprint"&amp;" 3,Sprint 2,Sprint 5,Sprint 5,Sprint 4,Sprint 5,Sprint 3"</formula1>
    </dataValidation>
    <dataValidation type="list" allowBlank="1" sqref="F7:F69">
      <formula1>"Lư Hữu Luân,Trần Công Thuận,Nguyễn Thành Huy,Võ Quốc An,Huỳnh Phi Long,Lê Nhựt Huy"</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fitToPage="1"/>
  </sheetPr>
  <sheetViews>
    <sheetView showGridLines="0"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min="1" max="1" width="8.0"/>
    <col customWidth="1" min="2" max="2" width="12.0"/>
    <col customWidth="1" min="3" max="3" width="50.0"/>
    <col customWidth="1" min="4" max="5" width="9.0"/>
    <col customWidth="1" min="6" max="6" width="8.0"/>
    <col customWidth="1" min="7" max="7" width="12.0"/>
    <col customWidth="1" min="8" max="8" width="56.0"/>
    <col customWidth="1" min="9" max="9" width="40.0"/>
    <col customWidth="1" min="10" max="10" width="10.0"/>
    <col customWidth="1" min="11" max="11" width="28.0"/>
    <col customWidth="1" min="12" max="12" width="10.0"/>
    <col customWidth="1" min="13" max="26" width="8.71"/>
  </cols>
  <sheetData>
    <row r="1" ht="25.5" customHeight="1">
      <c r="A1" s="1" t="s">
        <v>4363</v>
      </c>
    </row>
    <row r="2">
      <c r="A2" s="2" t="s">
        <v>4364</v>
      </c>
    </row>
    <row r="4" ht="33.75" customHeight="1">
      <c r="A4" s="8" t="s">
        <v>111</v>
      </c>
      <c r="B4" s="8" t="s">
        <v>7</v>
      </c>
      <c r="C4" s="8" t="s">
        <v>4365</v>
      </c>
      <c r="D4" s="8" t="s">
        <v>4366</v>
      </c>
      <c r="E4" s="8" t="s">
        <v>4367</v>
      </c>
      <c r="F4" s="8" t="s">
        <v>4368</v>
      </c>
      <c r="G4" s="8" t="s">
        <v>4369</v>
      </c>
      <c r="H4" s="8" t="s">
        <v>4370</v>
      </c>
      <c r="I4" s="8" t="s">
        <v>4371</v>
      </c>
      <c r="J4" s="8" t="s">
        <v>4372</v>
      </c>
      <c r="K4" s="8" t="s">
        <v>4373</v>
      </c>
      <c r="L4" s="8" t="s">
        <v>11</v>
      </c>
    </row>
    <row r="5">
      <c r="A5" s="25" t="s">
        <v>4374</v>
      </c>
      <c r="B5" s="21" t="s">
        <v>4375</v>
      </c>
      <c r="C5" s="9" t="s">
        <v>4376</v>
      </c>
      <c r="D5" s="45">
        <v>4.0</v>
      </c>
      <c r="E5" s="45">
        <v>5.0</v>
      </c>
      <c r="F5" s="21">
        <f t="shared" ref="F5:F28" si="1">D5*E5</f>
        <v>20</v>
      </c>
      <c r="G5" s="21" t="str">
        <f t="shared" ref="G5:G28" si="2">IF(F5&gt;=15,"Cao",IF(F5&gt;=8,"Trung bình","Thấp"))</f>
        <v>Cao</v>
      </c>
      <c r="H5" s="9" t="s">
        <v>4377</v>
      </c>
      <c r="I5" s="9" t="s">
        <v>4378</v>
      </c>
      <c r="J5" s="21" t="s">
        <v>4379</v>
      </c>
      <c r="K5" s="9" t="s">
        <v>4380</v>
      </c>
      <c r="L5" s="21" t="s">
        <v>4381</v>
      </c>
    </row>
    <row r="6">
      <c r="A6" s="25" t="s">
        <v>4382</v>
      </c>
      <c r="B6" s="21" t="s">
        <v>164</v>
      </c>
      <c r="C6" s="9" t="s">
        <v>4383</v>
      </c>
      <c r="D6" s="45">
        <v>5.0</v>
      </c>
      <c r="E6" s="45">
        <v>4.0</v>
      </c>
      <c r="F6" s="21">
        <f t="shared" si="1"/>
        <v>20</v>
      </c>
      <c r="G6" s="21" t="str">
        <f t="shared" si="2"/>
        <v>Cao</v>
      </c>
      <c r="H6" s="9" t="s">
        <v>4384</v>
      </c>
      <c r="I6" s="9" t="s">
        <v>4385</v>
      </c>
      <c r="J6" s="21" t="s">
        <v>4379</v>
      </c>
      <c r="K6" s="9" t="s">
        <v>4386</v>
      </c>
      <c r="L6" s="21" t="s">
        <v>4381</v>
      </c>
    </row>
    <row r="7">
      <c r="A7" s="25" t="s">
        <v>4387</v>
      </c>
      <c r="B7" s="21" t="s">
        <v>4388</v>
      </c>
      <c r="C7" s="9" t="s">
        <v>4389</v>
      </c>
      <c r="D7" s="45">
        <v>4.0</v>
      </c>
      <c r="E7" s="45">
        <v>4.0</v>
      </c>
      <c r="F7" s="21">
        <f t="shared" si="1"/>
        <v>16</v>
      </c>
      <c r="G7" s="21" t="str">
        <f t="shared" si="2"/>
        <v>Cao</v>
      </c>
      <c r="H7" s="9" t="s">
        <v>4390</v>
      </c>
      <c r="I7" s="9" t="s">
        <v>4391</v>
      </c>
      <c r="J7" s="21" t="s">
        <v>4379</v>
      </c>
      <c r="K7" s="9" t="s">
        <v>4392</v>
      </c>
      <c r="L7" s="21" t="s">
        <v>4381</v>
      </c>
    </row>
    <row r="8">
      <c r="A8" s="25" t="s">
        <v>4393</v>
      </c>
      <c r="B8" s="21" t="s">
        <v>4394</v>
      </c>
      <c r="C8" s="9" t="s">
        <v>4395</v>
      </c>
      <c r="D8" s="45">
        <v>3.0</v>
      </c>
      <c r="E8" s="45">
        <v>5.0</v>
      </c>
      <c r="F8" s="21">
        <f t="shared" si="1"/>
        <v>15</v>
      </c>
      <c r="G8" s="21" t="str">
        <f t="shared" si="2"/>
        <v>Cao</v>
      </c>
      <c r="H8" s="9" t="s">
        <v>4396</v>
      </c>
      <c r="I8" s="9" t="s">
        <v>4397</v>
      </c>
      <c r="J8" s="21" t="s">
        <v>4379</v>
      </c>
      <c r="K8" s="9" t="s">
        <v>4398</v>
      </c>
      <c r="L8" s="21" t="s">
        <v>4381</v>
      </c>
    </row>
    <row r="9">
      <c r="A9" s="25" t="s">
        <v>4399</v>
      </c>
      <c r="B9" s="21" t="s">
        <v>4400</v>
      </c>
      <c r="C9" s="9" t="s">
        <v>4401</v>
      </c>
      <c r="D9" s="45">
        <v>3.0</v>
      </c>
      <c r="E9" s="45">
        <v>4.0</v>
      </c>
      <c r="F9" s="21">
        <f t="shared" si="1"/>
        <v>12</v>
      </c>
      <c r="G9" s="21" t="str">
        <f t="shared" si="2"/>
        <v>Trung bình</v>
      </c>
      <c r="H9" s="9" t="s">
        <v>4402</v>
      </c>
      <c r="I9" s="9" t="s">
        <v>4403</v>
      </c>
      <c r="J9" s="21" t="s">
        <v>4379</v>
      </c>
      <c r="K9" s="9" t="s">
        <v>771</v>
      </c>
      <c r="L9" s="21" t="s">
        <v>4381</v>
      </c>
    </row>
    <row r="10">
      <c r="A10" s="25" t="s">
        <v>4404</v>
      </c>
      <c r="B10" s="21" t="s">
        <v>4400</v>
      </c>
      <c r="C10" s="9" t="s">
        <v>4405</v>
      </c>
      <c r="D10" s="45">
        <v>3.0</v>
      </c>
      <c r="E10" s="45">
        <v>3.0</v>
      </c>
      <c r="F10" s="21">
        <f t="shared" si="1"/>
        <v>9</v>
      </c>
      <c r="G10" s="21" t="str">
        <f t="shared" si="2"/>
        <v>Trung bình</v>
      </c>
      <c r="H10" s="9" t="s">
        <v>4406</v>
      </c>
      <c r="I10" s="9" t="s">
        <v>4407</v>
      </c>
      <c r="J10" s="21" t="s">
        <v>4408</v>
      </c>
      <c r="K10" s="9" t="s">
        <v>4409</v>
      </c>
      <c r="L10" s="21" t="s">
        <v>4381</v>
      </c>
    </row>
    <row r="11">
      <c r="A11" s="25" t="s">
        <v>4410</v>
      </c>
      <c r="B11" s="21" t="s">
        <v>4394</v>
      </c>
      <c r="C11" s="9" t="s">
        <v>4411</v>
      </c>
      <c r="D11" s="45">
        <v>4.0</v>
      </c>
      <c r="E11" s="45">
        <v>3.0</v>
      </c>
      <c r="F11" s="21">
        <f t="shared" si="1"/>
        <v>12</v>
      </c>
      <c r="G11" s="21" t="str">
        <f t="shared" si="2"/>
        <v>Trung bình</v>
      </c>
      <c r="H11" s="9" t="s">
        <v>4412</v>
      </c>
      <c r="I11" s="9" t="s">
        <v>4413</v>
      </c>
      <c r="J11" s="21" t="s">
        <v>4414</v>
      </c>
      <c r="K11" s="9" t="s">
        <v>4415</v>
      </c>
      <c r="L11" s="21" t="s">
        <v>4381</v>
      </c>
    </row>
    <row r="12">
      <c r="A12" s="25" t="s">
        <v>4416</v>
      </c>
      <c r="B12" s="21" t="s">
        <v>4417</v>
      </c>
      <c r="C12" s="9" t="s">
        <v>4418</v>
      </c>
      <c r="D12" s="45">
        <v>3.0</v>
      </c>
      <c r="E12" s="45">
        <v>4.0</v>
      </c>
      <c r="F12" s="21">
        <f t="shared" si="1"/>
        <v>12</v>
      </c>
      <c r="G12" s="21" t="str">
        <f t="shared" si="2"/>
        <v>Trung bình</v>
      </c>
      <c r="H12" s="9" t="s">
        <v>4419</v>
      </c>
      <c r="I12" s="9" t="s">
        <v>4420</v>
      </c>
      <c r="J12" s="21" t="s">
        <v>4421</v>
      </c>
      <c r="K12" s="9" t="s">
        <v>4422</v>
      </c>
      <c r="L12" s="21" t="s">
        <v>4381</v>
      </c>
    </row>
    <row r="13">
      <c r="A13" s="25" t="s">
        <v>4423</v>
      </c>
      <c r="B13" s="21" t="s">
        <v>4417</v>
      </c>
      <c r="C13" s="9" t="s">
        <v>4424</v>
      </c>
      <c r="D13" s="45">
        <v>4.0</v>
      </c>
      <c r="E13" s="45">
        <v>3.0</v>
      </c>
      <c r="F13" s="21">
        <f t="shared" si="1"/>
        <v>12</v>
      </c>
      <c r="G13" s="21" t="str">
        <f t="shared" si="2"/>
        <v>Trung bình</v>
      </c>
      <c r="H13" s="9" t="s">
        <v>4425</v>
      </c>
      <c r="I13" s="9" t="s">
        <v>4426</v>
      </c>
      <c r="J13" s="21" t="s">
        <v>4414</v>
      </c>
      <c r="K13" s="9" t="s">
        <v>4427</v>
      </c>
      <c r="L13" s="21" t="s">
        <v>4381</v>
      </c>
    </row>
    <row r="14">
      <c r="A14" s="25" t="s">
        <v>4428</v>
      </c>
      <c r="B14" s="21" t="s">
        <v>4429</v>
      </c>
      <c r="C14" s="9" t="s">
        <v>4430</v>
      </c>
      <c r="D14" s="45">
        <v>3.0</v>
      </c>
      <c r="E14" s="45">
        <v>5.0</v>
      </c>
      <c r="F14" s="21">
        <f t="shared" si="1"/>
        <v>15</v>
      </c>
      <c r="G14" s="21" t="str">
        <f t="shared" si="2"/>
        <v>Cao</v>
      </c>
      <c r="H14" s="9" t="s">
        <v>4431</v>
      </c>
      <c r="I14" s="9" t="s">
        <v>4432</v>
      </c>
      <c r="J14" s="21" t="s">
        <v>4421</v>
      </c>
      <c r="K14" s="9" t="s">
        <v>4433</v>
      </c>
      <c r="L14" s="21" t="s">
        <v>4381</v>
      </c>
    </row>
    <row r="15">
      <c r="A15" s="25" t="s">
        <v>4434</v>
      </c>
      <c r="B15" s="21" t="s">
        <v>4435</v>
      </c>
      <c r="C15" s="9" t="s">
        <v>4436</v>
      </c>
      <c r="D15" s="45">
        <v>3.0</v>
      </c>
      <c r="E15" s="45">
        <v>3.0</v>
      </c>
      <c r="F15" s="21">
        <f t="shared" si="1"/>
        <v>9</v>
      </c>
      <c r="G15" s="21" t="str">
        <f t="shared" si="2"/>
        <v>Trung bình</v>
      </c>
      <c r="H15" s="9" t="s">
        <v>4437</v>
      </c>
      <c r="I15" s="9" t="s">
        <v>4438</v>
      </c>
      <c r="J15" s="21" t="s">
        <v>4379</v>
      </c>
      <c r="K15" s="9" t="s">
        <v>4439</v>
      </c>
      <c r="L15" s="21" t="s">
        <v>4381</v>
      </c>
    </row>
    <row r="16">
      <c r="A16" s="25" t="s">
        <v>4440</v>
      </c>
      <c r="B16" s="21" t="s">
        <v>4441</v>
      </c>
      <c r="C16" s="9" t="s">
        <v>4442</v>
      </c>
      <c r="D16" s="45">
        <v>4.0</v>
      </c>
      <c r="E16" s="45">
        <v>4.0</v>
      </c>
      <c r="F16" s="21">
        <f t="shared" si="1"/>
        <v>16</v>
      </c>
      <c r="G16" s="21" t="str">
        <f t="shared" si="2"/>
        <v>Cao</v>
      </c>
      <c r="H16" s="9" t="s">
        <v>4443</v>
      </c>
      <c r="I16" s="9" t="s">
        <v>4444</v>
      </c>
      <c r="J16" s="21" t="s">
        <v>4379</v>
      </c>
      <c r="K16" s="9" t="s">
        <v>4445</v>
      </c>
      <c r="L16" s="21" t="s">
        <v>4381</v>
      </c>
    </row>
    <row r="17">
      <c r="A17" s="25" t="s">
        <v>4446</v>
      </c>
      <c r="B17" s="21" t="s">
        <v>4447</v>
      </c>
      <c r="C17" s="9" t="s">
        <v>4448</v>
      </c>
      <c r="D17" s="45">
        <v>2.0</v>
      </c>
      <c r="E17" s="45">
        <v>5.0</v>
      </c>
      <c r="F17" s="21">
        <f t="shared" si="1"/>
        <v>10</v>
      </c>
      <c r="G17" s="21" t="str">
        <f t="shared" si="2"/>
        <v>Trung bình</v>
      </c>
      <c r="H17" s="9" t="s">
        <v>4449</v>
      </c>
      <c r="I17" s="9" t="s">
        <v>4450</v>
      </c>
      <c r="J17" s="21" t="s">
        <v>4421</v>
      </c>
      <c r="K17" s="9" t="s">
        <v>4451</v>
      </c>
      <c r="L17" s="21" t="s">
        <v>4381</v>
      </c>
    </row>
    <row r="18">
      <c r="A18" s="25" t="s">
        <v>4452</v>
      </c>
      <c r="B18" s="21" t="s">
        <v>4453</v>
      </c>
      <c r="C18" s="9" t="s">
        <v>4454</v>
      </c>
      <c r="D18" s="45">
        <v>3.0</v>
      </c>
      <c r="E18" s="45">
        <v>4.0</v>
      </c>
      <c r="F18" s="21">
        <f t="shared" si="1"/>
        <v>12</v>
      </c>
      <c r="G18" s="21" t="str">
        <f t="shared" si="2"/>
        <v>Trung bình</v>
      </c>
      <c r="H18" s="9" t="s">
        <v>4455</v>
      </c>
      <c r="I18" s="9" t="s">
        <v>4456</v>
      </c>
      <c r="J18" s="21" t="s">
        <v>4379</v>
      </c>
      <c r="K18" s="9" t="s">
        <v>4457</v>
      </c>
      <c r="L18" s="21" t="s">
        <v>4381</v>
      </c>
    </row>
    <row r="19">
      <c r="A19" s="25" t="s">
        <v>4458</v>
      </c>
      <c r="B19" s="21" t="s">
        <v>4394</v>
      </c>
      <c r="C19" s="9" t="s">
        <v>4459</v>
      </c>
      <c r="D19" s="45">
        <v>3.0</v>
      </c>
      <c r="E19" s="45">
        <v>3.0</v>
      </c>
      <c r="F19" s="21">
        <f t="shared" si="1"/>
        <v>9</v>
      </c>
      <c r="G19" s="21" t="str">
        <f t="shared" si="2"/>
        <v>Trung bình</v>
      </c>
      <c r="H19" s="9" t="s">
        <v>4460</v>
      </c>
      <c r="I19" s="9" t="s">
        <v>4461</v>
      </c>
      <c r="J19" s="21" t="s">
        <v>4408</v>
      </c>
      <c r="K19" s="9" t="s">
        <v>4462</v>
      </c>
      <c r="L19" s="21" t="s">
        <v>4381</v>
      </c>
    </row>
    <row r="20">
      <c r="A20" s="25" t="s">
        <v>4463</v>
      </c>
      <c r="B20" s="21" t="s">
        <v>4464</v>
      </c>
      <c r="C20" s="9" t="s">
        <v>4465</v>
      </c>
      <c r="D20" s="45">
        <v>2.0</v>
      </c>
      <c r="E20" s="45">
        <v>3.0</v>
      </c>
      <c r="F20" s="21">
        <f t="shared" si="1"/>
        <v>6</v>
      </c>
      <c r="G20" s="21" t="str">
        <f t="shared" si="2"/>
        <v>Thấp</v>
      </c>
      <c r="H20" s="9" t="s">
        <v>4466</v>
      </c>
      <c r="I20" s="9" t="s">
        <v>4467</v>
      </c>
      <c r="J20" s="21" t="s">
        <v>4408</v>
      </c>
      <c r="K20" s="9" t="s">
        <v>4468</v>
      </c>
      <c r="L20" s="21" t="s">
        <v>4381</v>
      </c>
    </row>
    <row r="21" ht="15.75" customHeight="1">
      <c r="A21" s="25" t="s">
        <v>4469</v>
      </c>
      <c r="B21" s="21" t="s">
        <v>4394</v>
      </c>
      <c r="C21" s="9" t="s">
        <v>4470</v>
      </c>
      <c r="D21" s="45">
        <v>3.0</v>
      </c>
      <c r="E21" s="45">
        <v>2.0</v>
      </c>
      <c r="F21" s="21">
        <f t="shared" si="1"/>
        <v>6</v>
      </c>
      <c r="G21" s="21" t="str">
        <f t="shared" si="2"/>
        <v>Thấp</v>
      </c>
      <c r="H21" s="9" t="s">
        <v>4471</v>
      </c>
      <c r="I21" s="9" t="s">
        <v>4472</v>
      </c>
      <c r="J21" s="21" t="s">
        <v>4414</v>
      </c>
      <c r="K21" s="9" t="s">
        <v>4473</v>
      </c>
      <c r="L21" s="21" t="s">
        <v>4381</v>
      </c>
    </row>
    <row r="22" ht="15.75" customHeight="1">
      <c r="A22" s="25" t="s">
        <v>4474</v>
      </c>
      <c r="B22" s="21" t="s">
        <v>4475</v>
      </c>
      <c r="C22" s="9" t="s">
        <v>4476</v>
      </c>
      <c r="D22" s="45">
        <v>2.0</v>
      </c>
      <c r="E22" s="45">
        <v>4.0</v>
      </c>
      <c r="F22" s="21">
        <f t="shared" si="1"/>
        <v>8</v>
      </c>
      <c r="G22" s="21" t="str">
        <f t="shared" si="2"/>
        <v>Trung bình</v>
      </c>
      <c r="H22" s="9" t="s">
        <v>4477</v>
      </c>
      <c r="I22" s="9" t="s">
        <v>4478</v>
      </c>
      <c r="J22" s="21" t="s">
        <v>4414</v>
      </c>
      <c r="K22" s="9" t="s">
        <v>4479</v>
      </c>
      <c r="L22" s="21" t="s">
        <v>4381</v>
      </c>
    </row>
    <row r="23" ht="15.75" customHeight="1">
      <c r="A23" s="25" t="s">
        <v>4480</v>
      </c>
      <c r="B23" s="21" t="s">
        <v>4375</v>
      </c>
      <c r="C23" s="9" t="s">
        <v>4481</v>
      </c>
      <c r="D23" s="45">
        <v>3.0</v>
      </c>
      <c r="E23" s="45">
        <v>3.0</v>
      </c>
      <c r="F23" s="21">
        <f t="shared" si="1"/>
        <v>9</v>
      </c>
      <c r="G23" s="21" t="str">
        <f t="shared" si="2"/>
        <v>Trung bình</v>
      </c>
      <c r="H23" s="9" t="s">
        <v>4482</v>
      </c>
      <c r="I23" s="9" t="s">
        <v>4483</v>
      </c>
      <c r="J23" s="21" t="s">
        <v>4379</v>
      </c>
      <c r="K23" s="9" t="s">
        <v>4484</v>
      </c>
      <c r="L23" s="21" t="s">
        <v>4381</v>
      </c>
    </row>
    <row r="24" ht="15.75" customHeight="1">
      <c r="A24" s="25" t="s">
        <v>4485</v>
      </c>
      <c r="B24" s="21" t="s">
        <v>4417</v>
      </c>
      <c r="C24" s="9" t="s">
        <v>4486</v>
      </c>
      <c r="D24" s="45">
        <v>3.0</v>
      </c>
      <c r="E24" s="45">
        <v>3.0</v>
      </c>
      <c r="F24" s="21">
        <f t="shared" si="1"/>
        <v>9</v>
      </c>
      <c r="G24" s="21" t="str">
        <f t="shared" si="2"/>
        <v>Trung bình</v>
      </c>
      <c r="H24" s="9" t="s">
        <v>4487</v>
      </c>
      <c r="I24" s="9" t="s">
        <v>4488</v>
      </c>
      <c r="J24" s="21" t="s">
        <v>4414</v>
      </c>
      <c r="K24" s="9" t="s">
        <v>4489</v>
      </c>
      <c r="L24" s="21" t="s">
        <v>4381</v>
      </c>
    </row>
    <row r="25" ht="15.75" customHeight="1">
      <c r="A25" s="25" t="s">
        <v>4490</v>
      </c>
      <c r="B25" s="21" t="s">
        <v>284</v>
      </c>
      <c r="C25" s="9" t="s">
        <v>4491</v>
      </c>
      <c r="D25" s="45">
        <v>3.0</v>
      </c>
      <c r="E25" s="45">
        <v>2.0</v>
      </c>
      <c r="F25" s="21">
        <f t="shared" si="1"/>
        <v>6</v>
      </c>
      <c r="G25" s="21" t="str">
        <f t="shared" si="2"/>
        <v>Thấp</v>
      </c>
      <c r="H25" s="9" t="s">
        <v>4492</v>
      </c>
      <c r="I25" s="9" t="s">
        <v>4493</v>
      </c>
      <c r="J25" s="21" t="s">
        <v>4414</v>
      </c>
      <c r="K25" s="9" t="s">
        <v>4494</v>
      </c>
      <c r="L25" s="21" t="s">
        <v>4381</v>
      </c>
    </row>
    <row r="26" ht="15.75" customHeight="1">
      <c r="A26" s="25" t="s">
        <v>4495</v>
      </c>
      <c r="B26" s="21" t="s">
        <v>4400</v>
      </c>
      <c r="C26" s="9" t="s">
        <v>4496</v>
      </c>
      <c r="D26" s="45">
        <v>2.0</v>
      </c>
      <c r="E26" s="45">
        <v>3.0</v>
      </c>
      <c r="F26" s="21">
        <f t="shared" si="1"/>
        <v>6</v>
      </c>
      <c r="G26" s="21" t="str">
        <f t="shared" si="2"/>
        <v>Thấp</v>
      </c>
      <c r="H26" s="9" t="s">
        <v>4497</v>
      </c>
      <c r="I26" s="9" t="s">
        <v>4498</v>
      </c>
      <c r="J26" s="21" t="s">
        <v>4379</v>
      </c>
      <c r="K26" s="9" t="s">
        <v>1453</v>
      </c>
      <c r="L26" s="21" t="s">
        <v>4381</v>
      </c>
    </row>
    <row r="27" ht="15.75" customHeight="1">
      <c r="A27" s="25" t="s">
        <v>4499</v>
      </c>
      <c r="B27" s="21" t="s">
        <v>4464</v>
      </c>
      <c r="C27" s="9" t="s">
        <v>4500</v>
      </c>
      <c r="D27" s="45">
        <v>2.0</v>
      </c>
      <c r="E27" s="45">
        <v>3.0</v>
      </c>
      <c r="F27" s="21">
        <f t="shared" si="1"/>
        <v>6</v>
      </c>
      <c r="G27" s="21" t="str">
        <f t="shared" si="2"/>
        <v>Thấp</v>
      </c>
      <c r="H27" s="9" t="s">
        <v>4501</v>
      </c>
      <c r="I27" s="9" t="s">
        <v>4502</v>
      </c>
      <c r="J27" s="21" t="s">
        <v>4414</v>
      </c>
      <c r="K27" s="9" t="s">
        <v>4503</v>
      </c>
      <c r="L27" s="21" t="s">
        <v>4381</v>
      </c>
    </row>
    <row r="28" ht="15.75" customHeight="1">
      <c r="A28" s="25" t="s">
        <v>4504</v>
      </c>
      <c r="B28" s="21" t="s">
        <v>4453</v>
      </c>
      <c r="C28" s="9" t="s">
        <v>4505</v>
      </c>
      <c r="D28" s="45">
        <v>4.0</v>
      </c>
      <c r="E28" s="45">
        <v>3.0</v>
      </c>
      <c r="F28" s="21">
        <f t="shared" si="1"/>
        <v>12</v>
      </c>
      <c r="G28" s="21" t="str">
        <f t="shared" si="2"/>
        <v>Trung bình</v>
      </c>
      <c r="H28" s="9" t="s">
        <v>4506</v>
      </c>
      <c r="I28" s="9" t="s">
        <v>4507</v>
      </c>
      <c r="J28" s="21" t="s">
        <v>4379</v>
      </c>
      <c r="K28" s="9" t="s">
        <v>4457</v>
      </c>
      <c r="L28" s="21" t="s">
        <v>4381</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L$28"/>
  <conditionalFormatting sqref="G5:G28">
    <cfRule type="expression" dxfId="0" priority="1">
      <formula>G5="Cao"</formula>
    </cfRule>
  </conditionalFormatting>
  <conditionalFormatting sqref="G5:G28">
    <cfRule type="expression" dxfId="2" priority="2">
      <formula>G5="Trung bình"</formula>
    </cfRule>
  </conditionalFormatting>
  <conditionalFormatting sqref="G5:G28">
    <cfRule type="expression" dxfId="1" priority="3">
      <formula>G5="Thấp"</formula>
    </cfRule>
  </conditionalFormatting>
  <dataValidations>
    <dataValidation type="list" allowBlank="1" sqref="L5:L28">
      <formula1>"Mở,Đang xử lý,Đã giảm thiểu,Đóng"</formula1>
    </dataValidation>
    <dataValidation type="decimal" allowBlank="1" sqref="D5:E28">
      <formula1>1.0</formula1>
      <formula2>5.0</formula2>
    </dataValidation>
  </dataValidations>
  <printOptions/>
  <pageMargins bottom="1.0" footer="0.0" header="0.0" left="0.75" right="0.75" top="1.0"/>
  <pageSetup fitToHeight="0"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08080"/>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28.0"/>
    <col customWidth="1" min="2" max="2" width="100.0"/>
    <col customWidth="1" min="3" max="26" width="8.71"/>
  </cols>
  <sheetData>
    <row r="1" ht="25.5" customHeight="1">
      <c r="A1" s="1" t="s">
        <v>4508</v>
      </c>
    </row>
    <row r="4" ht="33.75" customHeight="1">
      <c r="A4" s="8" t="s">
        <v>4509</v>
      </c>
      <c r="B4" s="8" t="s">
        <v>4510</v>
      </c>
    </row>
    <row r="5">
      <c r="A5" s="23" t="s">
        <v>4511</v>
      </c>
      <c r="B5" s="9" t="s">
        <v>4512</v>
      </c>
    </row>
    <row r="6">
      <c r="A6" s="23" t="s">
        <v>346</v>
      </c>
      <c r="B6" s="9" t="s">
        <v>4513</v>
      </c>
    </row>
    <row r="7">
      <c r="A7" s="23" t="s">
        <v>4514</v>
      </c>
      <c r="B7" s="9" t="s">
        <v>4515</v>
      </c>
    </row>
    <row r="8">
      <c r="A8" s="23" t="s">
        <v>4286</v>
      </c>
      <c r="B8" s="9" t="s">
        <v>4516</v>
      </c>
    </row>
    <row r="9">
      <c r="A9" s="23" t="s">
        <v>4517</v>
      </c>
      <c r="B9" s="9" t="s">
        <v>4518</v>
      </c>
    </row>
    <row r="10">
      <c r="A10" s="23" t="s">
        <v>4519</v>
      </c>
      <c r="B10" s="9" t="s">
        <v>4520</v>
      </c>
    </row>
    <row r="11">
      <c r="A11" s="23" t="s">
        <v>4521</v>
      </c>
      <c r="B11" s="9" t="s">
        <v>4522</v>
      </c>
    </row>
    <row r="12">
      <c r="A12" s="23" t="s">
        <v>4523</v>
      </c>
      <c r="B12" s="9" t="s">
        <v>4524</v>
      </c>
    </row>
    <row r="13">
      <c r="A13" s="23" t="s">
        <v>4525</v>
      </c>
      <c r="B13" s="9" t="s">
        <v>4526</v>
      </c>
    </row>
    <row r="14">
      <c r="A14" s="23" t="s">
        <v>4527</v>
      </c>
      <c r="B14" s="9" t="s">
        <v>4528</v>
      </c>
    </row>
    <row r="15">
      <c r="A15" s="23" t="s">
        <v>4529</v>
      </c>
      <c r="B15" s="9" t="s">
        <v>4530</v>
      </c>
    </row>
    <row r="16">
      <c r="A16" s="23" t="s">
        <v>4531</v>
      </c>
      <c r="B16" s="9" t="s">
        <v>4532</v>
      </c>
    </row>
    <row r="17">
      <c r="A17" s="23" t="s">
        <v>3276</v>
      </c>
      <c r="B17" s="9" t="s">
        <v>4533</v>
      </c>
    </row>
    <row r="18">
      <c r="A18" s="23" t="s">
        <v>219</v>
      </c>
      <c r="B18" s="9" t="s">
        <v>4534</v>
      </c>
    </row>
    <row r="19">
      <c r="A19" s="23" t="s">
        <v>4535</v>
      </c>
      <c r="B19" s="9" t="s">
        <v>4536</v>
      </c>
    </row>
    <row r="20">
      <c r="A20" s="23" t="s">
        <v>4537</v>
      </c>
      <c r="B20" s="9" t="s">
        <v>4538</v>
      </c>
    </row>
    <row r="21" ht="15.75" customHeight="1">
      <c r="A21" s="23" t="s">
        <v>4539</v>
      </c>
      <c r="B21" s="9" t="s">
        <v>4540</v>
      </c>
    </row>
    <row r="22" ht="15.75" customHeight="1">
      <c r="A22" s="23" t="s">
        <v>117</v>
      </c>
      <c r="B22" s="9" t="s">
        <v>4541</v>
      </c>
    </row>
    <row r="23" ht="15.75" customHeight="1">
      <c r="A23" s="23" t="s">
        <v>4542</v>
      </c>
      <c r="B23" s="9" t="s">
        <v>4543</v>
      </c>
    </row>
    <row r="24" ht="15.75" customHeight="1">
      <c r="A24" s="23" t="s">
        <v>4544</v>
      </c>
      <c r="B24" s="9" t="s">
        <v>4545</v>
      </c>
    </row>
    <row r="25" ht="15.75" customHeight="1">
      <c r="A25" s="23" t="s">
        <v>4546</v>
      </c>
      <c r="B25" s="9" t="s">
        <v>4547</v>
      </c>
    </row>
    <row r="26" ht="15.75" customHeight="1">
      <c r="A26" s="23" t="s">
        <v>4548</v>
      </c>
      <c r="B26" s="9" t="s">
        <v>4549</v>
      </c>
    </row>
    <row r="27" ht="15.75" customHeight="1">
      <c r="A27" s="23" t="s">
        <v>4550</v>
      </c>
      <c r="B27" s="9" t="s">
        <v>4551</v>
      </c>
    </row>
    <row r="28" ht="15.75" customHeight="1">
      <c r="A28" s="23" t="s">
        <v>4552</v>
      </c>
      <c r="B28" s="9" t="s">
        <v>4553</v>
      </c>
    </row>
    <row r="29" ht="15.75" customHeight="1">
      <c r="A29" s="23" t="s">
        <v>4554</v>
      </c>
      <c r="B29" s="9" t="s">
        <v>4555</v>
      </c>
    </row>
    <row r="30" ht="15.75" customHeight="1">
      <c r="A30" s="23" t="s">
        <v>4556</v>
      </c>
      <c r="B30" s="9" t="s">
        <v>4557</v>
      </c>
    </row>
    <row r="31" ht="15.75" customHeight="1">
      <c r="A31" s="23" t="s">
        <v>4558</v>
      </c>
      <c r="B31" s="9" t="s">
        <v>4559</v>
      </c>
    </row>
    <row r="32" ht="15.75" customHeight="1">
      <c r="A32" s="23" t="s">
        <v>4560</v>
      </c>
      <c r="B32" s="9" t="s">
        <v>4561</v>
      </c>
    </row>
    <row r="33" ht="15.75" customHeight="1">
      <c r="A33" s="23" t="s">
        <v>4562</v>
      </c>
      <c r="B33" s="9" t="s">
        <v>4563</v>
      </c>
    </row>
    <row r="34" ht="15.75" customHeight="1">
      <c r="A34" s="23" t="s">
        <v>4564</v>
      </c>
      <c r="B34" s="9" t="s">
        <v>4565</v>
      </c>
    </row>
    <row r="35" ht="15.75" customHeight="1">
      <c r="A35" s="23" t="s">
        <v>4566</v>
      </c>
      <c r="B35" s="9" t="s">
        <v>4567</v>
      </c>
    </row>
    <row r="36" ht="15.75" customHeight="1">
      <c r="A36" s="23" t="s">
        <v>4568</v>
      </c>
      <c r="B36" s="9" t="s">
        <v>4569</v>
      </c>
    </row>
    <row r="37" ht="15.75" customHeight="1">
      <c r="A37" s="23" t="s">
        <v>4570</v>
      </c>
      <c r="B37" s="9" t="s">
        <v>4571</v>
      </c>
    </row>
    <row r="38" ht="15.75" customHeight="1">
      <c r="A38" s="23" t="s">
        <v>4572</v>
      </c>
      <c r="B38" s="9" t="s">
        <v>4573</v>
      </c>
    </row>
    <row r="39" ht="15.75" customHeight="1">
      <c r="A39" s="23" t="s">
        <v>4574</v>
      </c>
      <c r="B39" s="9" t="s">
        <v>4575</v>
      </c>
    </row>
    <row r="40" ht="15.75" customHeight="1">
      <c r="A40" s="23" t="s">
        <v>4576</v>
      </c>
      <c r="B40" s="9" t="s">
        <v>4577</v>
      </c>
    </row>
    <row r="41" ht="15.75" customHeight="1">
      <c r="A41" s="23" t="s">
        <v>4578</v>
      </c>
      <c r="B41" s="9" t="s">
        <v>4579</v>
      </c>
    </row>
    <row r="42" ht="15.75" customHeight="1">
      <c r="A42" s="23" t="s">
        <v>4580</v>
      </c>
      <c r="B42" s="9" t="s">
        <v>4581</v>
      </c>
    </row>
    <row r="43" ht="15.75" customHeight="1">
      <c r="A43" s="23" t="s">
        <v>4582</v>
      </c>
      <c r="B43" s="9" t="s">
        <v>4583</v>
      </c>
    </row>
    <row r="44" ht="15.75" customHeight="1">
      <c r="A44" s="23" t="s">
        <v>4584</v>
      </c>
      <c r="B44" s="9" t="s">
        <v>4585</v>
      </c>
    </row>
    <row r="45" ht="15.75" customHeight="1">
      <c r="A45" s="23" t="s">
        <v>4586</v>
      </c>
      <c r="B45" s="9" t="s">
        <v>4587</v>
      </c>
    </row>
    <row r="46" ht="15.75" customHeight="1">
      <c r="A46" s="23" t="s">
        <v>4588</v>
      </c>
      <c r="B46" s="9" t="s">
        <v>4589</v>
      </c>
    </row>
    <row r="47" ht="15.75" customHeight="1">
      <c r="A47" s="23" t="s">
        <v>4590</v>
      </c>
      <c r="B47" s="9" t="s">
        <v>4591</v>
      </c>
    </row>
    <row r="48" ht="15.75" customHeight="1">
      <c r="A48" s="23" t="s">
        <v>4592</v>
      </c>
      <c r="B48" s="9" t="s">
        <v>4593</v>
      </c>
    </row>
    <row r="49" ht="15.75" customHeight="1">
      <c r="A49" s="23" t="s">
        <v>4594</v>
      </c>
      <c r="B49" s="9" t="s">
        <v>4595</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B$49"/>
  <printOptions/>
  <pageMargins bottom="1.0" footer="0.0" header="0.0" left="0.75" right="0.75" top="1.0"/>
  <pageSetup fitToHeight="0" orientation="landscape"/>
  <drawing r:id="rId1"/>
</worksheet>
</file>